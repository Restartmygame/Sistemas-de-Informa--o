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EstaPastaDeTrabalho"/>
  <xr:revisionPtr revIDLastSave="0" documentId="13_ncr:1_{6E998F5A-9DFC-4EE3-8E22-951CBF98226B}" xr6:coauthVersionLast="36" xr6:coauthVersionMax="36" xr10:uidLastSave="{00000000-0000-0000-0000-000000000000}"/>
  <bookViews>
    <workbookView xWindow="0" yWindow="0" windowWidth="22260" windowHeight="12645" firstSheet="3" activeTab="3" xr2:uid="{00000000-000D-0000-FFFF-FFFF00000000}"/>
  </bookViews>
  <sheets>
    <sheet name="Clientes" sheetId="1" r:id="rId1"/>
    <sheet name="Produtos" sheetId="5" r:id="rId2"/>
    <sheet name="Colaboradores" sheetId="6" r:id="rId3"/>
    <sheet name="VENDAS" sheetId="7" r:id="rId4"/>
    <sheet name="Relatório-1" sheetId="11" r:id="rId5"/>
    <sheet name="Relatório-2" sheetId="12" r:id="rId6"/>
    <sheet name="Relatório-3" sheetId="13" r:id="rId7"/>
    <sheet name="Relatório-4" sheetId="14" r:id="rId8"/>
    <sheet name="Relatório-5" sheetId="18" r:id="rId9"/>
    <sheet name="Relatório-6" sheetId="19" r:id="rId10"/>
    <sheet name="Relatório-7" sheetId="20" r:id="rId11"/>
    <sheet name="Relatório-8" sheetId="21" r:id="rId12"/>
    <sheet name="Relatório-9" sheetId="22" r:id="rId13"/>
    <sheet name="Relatório-10" sheetId="23" r:id="rId14"/>
    <sheet name="Relatório-11" sheetId="24" r:id="rId15"/>
    <sheet name="Relatório-12" sheetId="26" r:id="rId16"/>
    <sheet name="Relatório-13" sheetId="28" r:id="rId17"/>
    <sheet name="Relatório-14" sheetId="29" r:id="rId18"/>
    <sheet name="Relatório-15" sheetId="30" r:id="rId19"/>
    <sheet name="Descontos" sheetId="10" r:id="rId20"/>
    <sheet name="For.Pag" sheetId="8" r:id="rId21"/>
  </sheets>
  <definedNames>
    <definedName name="_xlnm._FilterDatabase" localSheetId="0" hidden="1">Clientes!$B$15:$I$45</definedName>
    <definedName name="_xlnm._FilterDatabase" localSheetId="3" hidden="1">VENDAS!$B$19:$M$120</definedName>
  </definedNames>
  <calcPr calcId="179021"/>
  <pivotCaches>
    <pivotCache cacheId="18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7" l="1"/>
  <c r="C13" i="7"/>
  <c r="C8" i="7"/>
  <c r="C7" i="7"/>
  <c r="C6" i="7"/>
  <c r="C4" i="7"/>
  <c r="C10" i="7" l="1"/>
  <c r="C4" i="10"/>
  <c r="A4" i="10"/>
  <c r="C14" i="7" l="1"/>
</calcChain>
</file>

<file path=xl/sharedStrings.xml><?xml version="1.0" encoding="utf-8"?>
<sst xmlns="http://schemas.openxmlformats.org/spreadsheetml/2006/main" count="2064" uniqueCount="521">
  <si>
    <t>CPF:</t>
  </si>
  <si>
    <t>Nome:</t>
  </si>
  <si>
    <t>Endereço</t>
  </si>
  <si>
    <t>Bairro</t>
  </si>
  <si>
    <t>Cidade</t>
  </si>
  <si>
    <t>CEP:</t>
  </si>
  <si>
    <t>Cidade:</t>
  </si>
  <si>
    <t>Bairro:</t>
  </si>
  <si>
    <t>Endereço:</t>
  </si>
  <si>
    <t>Telefone:</t>
  </si>
  <si>
    <t>E-mail</t>
  </si>
  <si>
    <t>E-mail:</t>
  </si>
  <si>
    <t>CPF</t>
  </si>
  <si>
    <t>Nome</t>
  </si>
  <si>
    <t>Cep</t>
  </si>
  <si>
    <t>Telefone</t>
  </si>
  <si>
    <t>Marca</t>
  </si>
  <si>
    <t>Modelo</t>
  </si>
  <si>
    <t>Ano</t>
  </si>
  <si>
    <t>Placa</t>
  </si>
  <si>
    <t>Preço</t>
  </si>
  <si>
    <t>Diego S</t>
  </si>
  <si>
    <t>jose vile</t>
  </si>
  <si>
    <t>penis town</t>
  </si>
  <si>
    <t>presidente prudente</t>
  </si>
  <si>
    <t>cudois@gmail.com</t>
  </si>
  <si>
    <t>CEP</t>
  </si>
  <si>
    <t>Atilio N</t>
  </si>
  <si>
    <t>ludwigville</t>
  </si>
  <si>
    <t>promabatown</t>
  </si>
  <si>
    <t>Presidente Prudente</t>
  </si>
  <si>
    <t>purorow@gmail.com</t>
  </si>
  <si>
    <t>fafas</t>
  </si>
  <si>
    <t>simplevile</t>
  </si>
  <si>
    <t>cragers</t>
  </si>
  <si>
    <t>kogama@gmail.com</t>
  </si>
  <si>
    <t>lalau</t>
  </si>
  <si>
    <t>heilagvagga</t>
  </si>
  <si>
    <t>estrangeiro</t>
  </si>
  <si>
    <t>supermario@gmail.com</t>
  </si>
  <si>
    <t>Sonic o ouriço</t>
  </si>
  <si>
    <t>Green hill zone</t>
  </si>
  <si>
    <t>loop do ouriço</t>
  </si>
  <si>
    <t>south island</t>
  </si>
  <si>
    <t>Sonicegostoso@gmail.com</t>
  </si>
  <si>
    <t>Sombra o ouriço</t>
  </si>
  <si>
    <t>Green hill</t>
  </si>
  <si>
    <t>caverna alatoria</t>
  </si>
  <si>
    <t>Soniclixo@gmail.com</t>
  </si>
  <si>
    <t>Dr Ivo Robotnik</t>
  </si>
  <si>
    <t>Death egg</t>
  </si>
  <si>
    <t>setor A</t>
  </si>
  <si>
    <t>Espaço</t>
  </si>
  <si>
    <t>eggmansupremo@gmail.com</t>
  </si>
  <si>
    <t>Miles Prower</t>
  </si>
  <si>
    <t>oficina do Tails</t>
  </si>
  <si>
    <t>South island</t>
  </si>
  <si>
    <t>euseiconstruirmelhorqueoeggman@gmail.com</t>
  </si>
  <si>
    <t>Knuckels o echidna</t>
  </si>
  <si>
    <t>Angel Island</t>
  </si>
  <si>
    <t>Santuário da esmeralda mestre</t>
  </si>
  <si>
    <t>oceano atlântico</t>
  </si>
  <si>
    <t>eunaoseiusarcomputador@gmail.com</t>
  </si>
  <si>
    <t>Amy rose</t>
  </si>
  <si>
    <t>Praia</t>
  </si>
  <si>
    <t>Euamoosonic@gmail.com</t>
  </si>
  <si>
    <t>Son Goku</t>
  </si>
  <si>
    <t>Montanhas</t>
  </si>
  <si>
    <t>não tem</t>
  </si>
  <si>
    <t>oieusouogoku@gmail.com</t>
  </si>
  <si>
    <t>Vegeta</t>
  </si>
  <si>
    <t>Casa da bulma</t>
  </si>
  <si>
    <t>Eusoumaisforterqueokakarotto@gmail.com</t>
  </si>
  <si>
    <t>Broly</t>
  </si>
  <si>
    <t>planeta sadala</t>
  </si>
  <si>
    <t>apeifhaob@gmail.com</t>
  </si>
  <si>
    <t>Bulma</t>
  </si>
  <si>
    <t>Corporação cápsula</t>
  </si>
  <si>
    <t>bababoy@gmail.com</t>
  </si>
  <si>
    <t>Yamcha</t>
  </si>
  <si>
    <t>Apartamento 223</t>
  </si>
  <si>
    <t>baseballlegal@gmail.com</t>
  </si>
  <si>
    <t>Chi Chi</t>
  </si>
  <si>
    <t>casa no meio do mato</t>
  </si>
  <si>
    <t>Vaiestudargohgan@gmail.com</t>
  </si>
  <si>
    <t>Goku Black (Zamasu)</t>
  </si>
  <si>
    <t>futuro destruído (casa no meio do mato)</t>
  </si>
  <si>
    <t>eusouumdeus@gmail.com</t>
  </si>
  <si>
    <t>Mestre Kame</t>
  </si>
  <si>
    <t>Ilha Kame</t>
  </si>
  <si>
    <t>R31D4PUT4R14@gmail.com</t>
  </si>
  <si>
    <t>Bills</t>
  </si>
  <si>
    <t>Planeta Bills</t>
  </si>
  <si>
    <t>eugostodepudim@gmail.com</t>
  </si>
  <si>
    <t>Piccolo</t>
  </si>
  <si>
    <t>eucuideidogohan@gmail.com</t>
  </si>
  <si>
    <t>Toyota</t>
  </si>
  <si>
    <t>Corolla</t>
  </si>
  <si>
    <t>BQO-6548</t>
  </si>
  <si>
    <t>Honda</t>
  </si>
  <si>
    <t>Civic</t>
  </si>
  <si>
    <t>GIJ-9538</t>
  </si>
  <si>
    <t>Ford</t>
  </si>
  <si>
    <t>Mustang</t>
  </si>
  <si>
    <t>DBU-0010</t>
  </si>
  <si>
    <t>Chevrolet</t>
  </si>
  <si>
    <t>Silverado</t>
  </si>
  <si>
    <t>GHD-6269</t>
  </si>
  <si>
    <t>BMW</t>
  </si>
  <si>
    <t>Série 3</t>
  </si>
  <si>
    <t>FGN-5588</t>
  </si>
  <si>
    <t>Mercedes-Benz</t>
  </si>
  <si>
    <t>Classe C</t>
  </si>
  <si>
    <t>BGU-5783</t>
  </si>
  <si>
    <t>Volkswagen</t>
  </si>
  <si>
    <t>Golf</t>
  </si>
  <si>
    <t>EKR-3065</t>
  </si>
  <si>
    <t>Nissan</t>
  </si>
  <si>
    <t>Rogue</t>
  </si>
  <si>
    <t>FOI-2357</t>
  </si>
  <si>
    <t>Jeep</t>
  </si>
  <si>
    <t>Wrangler</t>
  </si>
  <si>
    <t>GES-8457</t>
  </si>
  <si>
    <t>Audi</t>
  </si>
  <si>
    <t>Q5</t>
  </si>
  <si>
    <t>CRI-7491</t>
  </si>
  <si>
    <t>Data</t>
  </si>
  <si>
    <t>Data:</t>
  </si>
  <si>
    <t>Chassi</t>
  </si>
  <si>
    <t>fone:</t>
  </si>
  <si>
    <t>Chassi:</t>
  </si>
  <si>
    <t>Modelo:</t>
  </si>
  <si>
    <t>Marca:</t>
  </si>
  <si>
    <t>Vendedor</t>
  </si>
  <si>
    <t>Forma Pagmnt.</t>
  </si>
  <si>
    <t>Megatron</t>
  </si>
  <si>
    <t>qi9ryh 18937ry</t>
  </si>
  <si>
    <t>r13i9uyrc87132yh</t>
  </si>
  <si>
    <t>3i9urh13987rh</t>
  </si>
  <si>
    <t>1o3ry71397</t>
  </si>
  <si>
    <t>r9173r831yh</t>
  </si>
  <si>
    <t>hr9138r</t>
  </si>
  <si>
    <t>yrh12987yrh219</t>
  </si>
  <si>
    <t>rfqhy1r87132y</t>
  </si>
  <si>
    <t>isdufhqeiunf</t>
  </si>
  <si>
    <t>hqfewhqih</t>
  </si>
  <si>
    <t>Turbando</t>
  </si>
  <si>
    <t>Thomas</t>
  </si>
  <si>
    <t>CUL-6534</t>
  </si>
  <si>
    <t>2847t384fqe9yg</t>
  </si>
  <si>
    <t>Ultron</t>
  </si>
  <si>
    <t>KLU-8755</t>
  </si>
  <si>
    <t>Parcelado</t>
  </si>
  <si>
    <t>Débito</t>
  </si>
  <si>
    <t>Crédito</t>
  </si>
  <si>
    <t>Cheque</t>
  </si>
  <si>
    <t>Pix</t>
  </si>
  <si>
    <t>Á Vista</t>
  </si>
  <si>
    <t>Valor final</t>
  </si>
  <si>
    <t>Valor bruto:</t>
  </si>
  <si>
    <t>Desconto a vista</t>
  </si>
  <si>
    <t>Desconto a cima de 100000</t>
  </si>
  <si>
    <t>Cpf</t>
  </si>
  <si>
    <t>Fone</t>
  </si>
  <si>
    <t>Valor Bruto</t>
  </si>
  <si>
    <t>Valor Final</t>
  </si>
  <si>
    <t>Forma pagmnt.</t>
  </si>
  <si>
    <t>17e2bye28e87</t>
  </si>
  <si>
    <t>Bumbleebe</t>
  </si>
  <si>
    <t>FSQ-3684</t>
  </si>
  <si>
    <t>19823yrh2398</t>
  </si>
  <si>
    <t>Optimus Prime</t>
  </si>
  <si>
    <t>CFJ-0092</t>
  </si>
  <si>
    <t>29782hd29eh03</t>
  </si>
  <si>
    <t>Batmovél</t>
  </si>
  <si>
    <t>CSZ-4483</t>
  </si>
  <si>
    <t>Wayne</t>
  </si>
  <si>
    <t>Batbarco</t>
  </si>
  <si>
    <t>7vb3272hdu2h</t>
  </si>
  <si>
    <t>73d38712g7</t>
  </si>
  <si>
    <t>9832rf82</t>
  </si>
  <si>
    <t>w98df312</t>
  </si>
  <si>
    <t>309f3</t>
  </si>
  <si>
    <t>298f023</t>
  </si>
  <si>
    <t>buef9</t>
  </si>
  <si>
    <t>3nu9f2</t>
  </si>
  <si>
    <t>en8g</t>
  </si>
  <si>
    <t>23fi03fr</t>
  </si>
  <si>
    <t>fmi20f</t>
  </si>
  <si>
    <t>fin328f32</t>
  </si>
  <si>
    <t>nuf9320</t>
  </si>
  <si>
    <t>wefdi312j-9</t>
  </si>
  <si>
    <t>qw09j2</t>
  </si>
  <si>
    <t>bc738r21</t>
  </si>
  <si>
    <t>8f231rfi23r</t>
  </si>
  <si>
    <t>njufu032498r2</t>
  </si>
  <si>
    <t>vui3483i-r</t>
  </si>
  <si>
    <t>u85r9eçlwe-3]</t>
  </si>
  <si>
    <t>t564ty53</t>
  </si>
  <si>
    <t>g2344t34</t>
  </si>
  <si>
    <t>4343rt</t>
  </si>
  <si>
    <t>4t3t345t</t>
  </si>
  <si>
    <t>43f4fewf</t>
  </si>
  <si>
    <t>frwf3r544</t>
  </si>
  <si>
    <t>b65wgh</t>
  </si>
  <si>
    <t>j8r67</t>
  </si>
  <si>
    <t>nt6e5j764</t>
  </si>
  <si>
    <t>hw5uj65</t>
  </si>
  <si>
    <t>gjue45mkj</t>
  </si>
  <si>
    <t>je6tj876r</t>
  </si>
  <si>
    <t>jhdt7yr6huj65e</t>
  </si>
  <si>
    <t>trtfrty6y6787675rt</t>
  </si>
  <si>
    <t>e83b734972fh2</t>
  </si>
  <si>
    <t>43827fh743rt</t>
  </si>
  <si>
    <t>we7gwf0fg</t>
  </si>
  <si>
    <t>cv9we78rfh380f</t>
  </si>
  <si>
    <t>v9w8rfw-r</t>
  </si>
  <si>
    <t>98ehg34t</t>
  </si>
  <si>
    <t>9gt438hr</t>
  </si>
  <si>
    <t>et098234r</t>
  </si>
  <si>
    <t>rihg8243r2-e21</t>
  </si>
  <si>
    <t>q98fy3283210r</t>
  </si>
  <si>
    <t>731rehf3ub297re</t>
  </si>
  <si>
    <t>zcdnweqljd</t>
  </si>
  <si>
    <t>douvhbqw8d</t>
  </si>
  <si>
    <t xml:space="preserve"> jcqwfeo8-w3e</t>
  </si>
  <si>
    <t>dkjlfhnq0w9dj</t>
  </si>
  <si>
    <t xml:space="preserve"> jcvfqwoeijdq</t>
  </si>
  <si>
    <t>cv jdfuhwe0id</t>
  </si>
  <si>
    <t>c jqweoudhwq0</t>
  </si>
  <si>
    <t>vd jqendq0</t>
  </si>
  <si>
    <t>089r231eo</t>
  </si>
  <si>
    <t>qwpdfqw09</t>
  </si>
  <si>
    <t>c32197e12</t>
  </si>
  <si>
    <t>wqodn1209u</t>
  </si>
  <si>
    <t>wdf31290re</t>
  </si>
  <si>
    <t>weiur2319</t>
  </si>
  <si>
    <t>cwi97qr39</t>
  </si>
  <si>
    <t>bjrfg94y329</t>
  </si>
  <si>
    <t>cihe2gr79</t>
  </si>
  <si>
    <t>23r9823rh</t>
  </si>
  <si>
    <t>weofh3280</t>
  </si>
  <si>
    <t>ewb9fr87321</t>
  </si>
  <si>
    <t>bf73297e023</t>
  </si>
  <si>
    <t>23r723</t>
  </si>
  <si>
    <t>u3r32190eh</t>
  </si>
  <si>
    <t>fu2390</t>
  </si>
  <si>
    <t>fnu923h48</t>
  </si>
  <si>
    <t>9823hr8230rj</t>
  </si>
  <si>
    <t>nrf9823hr</t>
  </si>
  <si>
    <t>ui23hr</t>
  </si>
  <si>
    <t>sbdqwude</t>
  </si>
  <si>
    <t xml:space="preserve"> cf9uwqe</t>
  </si>
  <si>
    <t>odwqhe812u</t>
  </si>
  <si>
    <t>enfr8329</t>
  </si>
  <si>
    <t>djwbf9832h</t>
  </si>
  <si>
    <t>dbf9u32hgr89</t>
  </si>
  <si>
    <t>fbg98423hr</t>
  </si>
  <si>
    <t>bn9fh23480</t>
  </si>
  <si>
    <t>buwef983h42</t>
  </si>
  <si>
    <t>nfh3428</t>
  </si>
  <si>
    <t>wienfh234</t>
  </si>
  <si>
    <t>jbf923u</t>
  </si>
  <si>
    <t>bfg923h</t>
  </si>
  <si>
    <t>ewnbf923hr</t>
  </si>
  <si>
    <t>bwef9ur32</t>
  </si>
  <si>
    <t>befu9ew3</t>
  </si>
  <si>
    <t>bn9uqw3he</t>
  </si>
  <si>
    <t>nbfg9234u</t>
  </si>
  <si>
    <t>eofr2e</t>
  </si>
  <si>
    <t xml:space="preserve"> bnfeowu3i</t>
  </si>
  <si>
    <t xml:space="preserve"> bewfu923</t>
  </si>
  <si>
    <t xml:space="preserve"> vfeu9w2</t>
  </si>
  <si>
    <t xml:space="preserve"> fvwe2</t>
  </si>
  <si>
    <t xml:space="preserve"> dfowu</t>
  </si>
  <si>
    <t>fniew0q2</t>
  </si>
  <si>
    <t xml:space="preserve"> fvg23bu09</t>
  </si>
  <si>
    <t xml:space="preserve"> weof3</t>
  </si>
  <si>
    <t>nwrt023hjr4</t>
  </si>
  <si>
    <t>byfdeg27</t>
  </si>
  <si>
    <t>qsknd082wed</t>
  </si>
  <si>
    <t>dnofvqe</t>
  </si>
  <si>
    <t>Batavião</t>
  </si>
  <si>
    <t>Star Scream</t>
  </si>
  <si>
    <t>Mirage</t>
  </si>
  <si>
    <t>Lock Down</t>
  </si>
  <si>
    <t>Smas</t>
  </si>
  <si>
    <t>K-Dash</t>
  </si>
  <si>
    <t>Iron High</t>
  </si>
  <si>
    <t>Optimus Primal</t>
  </si>
  <si>
    <t>MetaTRON</t>
  </si>
  <si>
    <t>Camaro</t>
  </si>
  <si>
    <t>Batmoto</t>
  </si>
  <si>
    <t>Sentinel Prime</t>
  </si>
  <si>
    <t>Unicron</t>
  </si>
  <si>
    <t>Prime</t>
  </si>
  <si>
    <t>Dodge Charger</t>
  </si>
  <si>
    <t>Avião Invisível</t>
  </si>
  <si>
    <t>Arcee</t>
  </si>
  <si>
    <t>Dragon Zord</t>
  </si>
  <si>
    <t>ZORDS</t>
  </si>
  <si>
    <t>Tigger Zord</t>
  </si>
  <si>
    <t>Mustang Fantasma</t>
  </si>
  <si>
    <t>Infernal</t>
  </si>
  <si>
    <t>Braquiozord</t>
  </si>
  <si>
    <t xml:space="preserve">T-Rex </t>
  </si>
  <si>
    <t xml:space="preserve">Pterodáctilo </t>
  </si>
  <si>
    <t>Estrela da Morte</t>
  </si>
  <si>
    <t>Império</t>
  </si>
  <si>
    <t>Planador</t>
  </si>
  <si>
    <t>Nave (Senado)</t>
  </si>
  <si>
    <t>República</t>
  </si>
  <si>
    <t>bcy7ere</t>
  </si>
  <si>
    <t>[eqb hf97eyr12</t>
  </si>
  <si>
    <t>nrg978et</t>
  </si>
  <si>
    <t>bm0reigjwe</t>
  </si>
  <si>
    <t>yugb3487tr</t>
  </si>
  <si>
    <t>jbfgew</t>
  </si>
  <si>
    <t>fbg934</t>
  </si>
  <si>
    <t xml:space="preserve"> jnbv98rt4e</t>
  </si>
  <si>
    <t xml:space="preserve"> bvg9we47tr3</t>
  </si>
  <si>
    <t>sdn vgw3eh0r8</t>
  </si>
  <si>
    <t>wiuthf438ur</t>
  </si>
  <si>
    <t>gut4983t8043</t>
  </si>
  <si>
    <t>ihg805rt</t>
  </si>
  <si>
    <t>e4t43tergh5</t>
  </si>
  <si>
    <t>e456</t>
  </si>
  <si>
    <t>54y5eytr</t>
  </si>
  <si>
    <t>heryt5445</t>
  </si>
  <si>
    <t>e5ytrhy54</t>
  </si>
  <si>
    <t>e5yt54g</t>
  </si>
  <si>
    <t>4e55rty54</t>
  </si>
  <si>
    <t>eyy5y45re</t>
  </si>
  <si>
    <t>45ery54</t>
  </si>
  <si>
    <t>y5y45y</t>
  </si>
  <si>
    <t>ery54tyert</t>
  </si>
  <si>
    <t>ety4t4etye54</t>
  </si>
  <si>
    <t>e4t4t4</t>
  </si>
  <si>
    <t>et4t4y5e</t>
  </si>
  <si>
    <t>e5tye45y5</t>
  </si>
  <si>
    <t>et5y4wegter</t>
  </si>
  <si>
    <t>e5643t56y</t>
  </si>
  <si>
    <t>e5634tyy5</t>
  </si>
  <si>
    <t>e5y65ey53</t>
  </si>
  <si>
    <t>thery534</t>
  </si>
  <si>
    <t>45yt45rty5</t>
  </si>
  <si>
    <t>r564tet</t>
  </si>
  <si>
    <t>ey45y</t>
  </si>
  <si>
    <t>455ye4y4ey</t>
  </si>
  <si>
    <t>d4t54yt5et</t>
  </si>
  <si>
    <t>5r64et4ety45</t>
  </si>
  <si>
    <t>sfw34rw3</t>
  </si>
  <si>
    <t>ewrtw3re64e</t>
  </si>
  <si>
    <t>e6366e5</t>
  </si>
  <si>
    <t>rt745778eu6u</t>
  </si>
  <si>
    <t>rt7usw445u54w</t>
  </si>
  <si>
    <t>r67s556uys4t46t3</t>
  </si>
  <si>
    <t>ty745ty5u46t</t>
  </si>
  <si>
    <t>745634tgy574</t>
  </si>
  <si>
    <t>rty54t4tg56t34</t>
  </si>
  <si>
    <t>rty4etger56t43gf</t>
  </si>
  <si>
    <t>rtt64tgryt4e</t>
  </si>
  <si>
    <t>wh345t4ter5y</t>
  </si>
  <si>
    <t>teryt433t</t>
  </si>
  <si>
    <t>ytr4ry54yrty45</t>
  </si>
  <si>
    <t>he5t5ryh546</t>
  </si>
  <si>
    <t>4e5ry45y5ey</t>
  </si>
  <si>
    <t>ty45t65y4yu45</t>
  </si>
  <si>
    <t>6y4567457yr6t</t>
  </si>
  <si>
    <t>y54yu54y5ey</t>
  </si>
  <si>
    <t>645yu45</t>
  </si>
  <si>
    <t>7y5475487</t>
  </si>
  <si>
    <t>567y</t>
  </si>
  <si>
    <t>45u6r5ye576457yu</t>
  </si>
  <si>
    <t>54y6745ytry</t>
  </si>
  <si>
    <t>tyrtey6</t>
  </si>
  <si>
    <t>tr664et4e5</t>
  </si>
  <si>
    <t>er6t456tet</t>
  </si>
  <si>
    <t>ete4543634</t>
  </si>
  <si>
    <t>e53674343</t>
  </si>
  <si>
    <t>r3rr23r23f324r43</t>
  </si>
  <si>
    <t>er432t5432wr</t>
  </si>
  <si>
    <t>rr23323r</t>
  </si>
  <si>
    <t>23r23r423</t>
  </si>
  <si>
    <t>324r234r5</t>
  </si>
  <si>
    <t>w4rt4fwef</t>
  </si>
  <si>
    <t>ef234r342r</t>
  </si>
  <si>
    <t>34r5w3r342t5</t>
  </si>
  <si>
    <t>ewt4235324</t>
  </si>
  <si>
    <t>et532532</t>
  </si>
  <si>
    <t>ert3423wr</t>
  </si>
  <si>
    <t>3r523r423r</t>
  </si>
  <si>
    <t>wet324532rte</t>
  </si>
  <si>
    <t>ert345</t>
  </si>
  <si>
    <t>34ertt4</t>
  </si>
  <si>
    <t>Catatau</t>
  </si>
  <si>
    <t>klovisvile</t>
  </si>
  <si>
    <t>lebersons</t>
  </si>
  <si>
    <t>cleversons</t>
  </si>
  <si>
    <t>98217491278@gmail.com</t>
  </si>
  <si>
    <t>Carlinhos</t>
  </si>
  <si>
    <t>kogamaville</t>
  </si>
  <si>
    <t>blockboytown</t>
  </si>
  <si>
    <t>kogama</t>
  </si>
  <si>
    <t>kaogama@gmail.com</t>
  </si>
  <si>
    <t>espio o camaleão</t>
  </si>
  <si>
    <t>meio do mato</t>
  </si>
  <si>
    <t>floresta amazônica</t>
  </si>
  <si>
    <t>Mato grosso</t>
  </si>
  <si>
    <t>espiooo@gmail.com</t>
  </si>
  <si>
    <t>Vector o Crocodilo</t>
  </si>
  <si>
    <t>chaos quadrant</t>
  </si>
  <si>
    <t>metallic madness</t>
  </si>
  <si>
    <t>green forest</t>
  </si>
  <si>
    <t>vecvecvec@gmail.com</t>
  </si>
  <si>
    <t>jair Bolsonaro</t>
  </si>
  <si>
    <t>beco</t>
  </si>
  <si>
    <t>imbroxavelville</t>
  </si>
  <si>
    <t>antipttown</t>
  </si>
  <si>
    <t>imbroxavel@gmail.com</t>
  </si>
  <si>
    <t>Luiz inácio Lula da Silva</t>
  </si>
  <si>
    <t>casa branca</t>
  </si>
  <si>
    <t>bahia</t>
  </si>
  <si>
    <t>ptvilletown</t>
  </si>
  <si>
    <t>fazol@gmail.com</t>
  </si>
  <si>
    <t>Hacka Doll 3</t>
  </si>
  <si>
    <t>mansão endiabrada</t>
  </si>
  <si>
    <t>koronaville</t>
  </si>
  <si>
    <t>quasguiretown</t>
  </si>
  <si>
    <t>eusoumulherconfia@gmail.com</t>
  </si>
  <si>
    <t>Astolfo</t>
  </si>
  <si>
    <t>casa n3567</t>
  </si>
  <si>
    <t>bairo n43345</t>
  </si>
  <si>
    <t>cidade z</t>
  </si>
  <si>
    <t>eunaosouhomemconfia@gmail.com</t>
  </si>
  <si>
    <t>Kanna chan</t>
  </si>
  <si>
    <t>asasawe</t>
  </si>
  <si>
    <t>ulalaual</t>
  </si>
  <si>
    <t>kelelkeueu</t>
  </si>
  <si>
    <t>eusoumaiorde18@gmail.com</t>
  </si>
  <si>
    <t>Rezendeevil</t>
  </si>
  <si>
    <t>minecraft</t>
  </si>
  <si>
    <t>caverna</t>
  </si>
  <si>
    <t>mato</t>
  </si>
  <si>
    <t>falabonecasebencos@gmail.com</t>
  </si>
  <si>
    <t>Venom extreme</t>
  </si>
  <si>
    <t>ouroourouro</t>
  </si>
  <si>
    <t>malditoville</t>
  </si>
  <si>
    <t>penguinsanõestown</t>
  </si>
  <si>
    <t>euadoroouro@gmail.com</t>
  </si>
  <si>
    <t>lário</t>
  </si>
  <si>
    <t>kogogoama</t>
  </si>
  <si>
    <t>alalamna</t>
  </si>
  <si>
    <t>uturtyeue</t>
  </si>
  <si>
    <t>eusouolarioprazer@gmail.com</t>
  </si>
  <si>
    <t>Mephiles the dark</t>
  </si>
  <si>
    <t>quintos dos inferno</t>
  </si>
  <si>
    <t>fogarel do mal</t>
  </si>
  <si>
    <t>chama ardente</t>
  </si>
  <si>
    <t>sucumbaastrevas@gmail.com</t>
  </si>
  <si>
    <t>Infinite o chacal</t>
  </si>
  <si>
    <t>base do eggman</t>
  </si>
  <si>
    <t>meio do nada</t>
  </si>
  <si>
    <t>scrap brain</t>
  </si>
  <si>
    <t>eunaosoufraco@gmail.com</t>
  </si>
  <si>
    <t>Metal Sonic</t>
  </si>
  <si>
    <t>emailcriadoporai@gmail.com</t>
  </si>
  <si>
    <t>Chaos</t>
  </si>
  <si>
    <t>esmeralda mestre</t>
  </si>
  <si>
    <t>blrblrblrbl@gmail.com</t>
  </si>
  <si>
    <t>Sonic.exe</t>
  </si>
  <si>
    <t>quinto dos inferno</t>
  </si>
  <si>
    <t>fogarel 2</t>
  </si>
  <si>
    <t>la de fogo</t>
  </si>
  <si>
    <t>eusoudeus@gmail.com</t>
  </si>
  <si>
    <t>Giorno Giovanna</t>
  </si>
  <si>
    <t>Italia2</t>
  </si>
  <si>
    <t>aahprovolone</t>
  </si>
  <si>
    <t>aahspaguetti</t>
  </si>
  <si>
    <t>eutenhoumsonho@gmail.com</t>
  </si>
  <si>
    <t>DIO</t>
  </si>
  <si>
    <t>Mansão do egito</t>
  </si>
  <si>
    <t>egito</t>
  </si>
  <si>
    <t>deserto 2</t>
  </si>
  <si>
    <t>eusouodio@gmail.com</t>
  </si>
  <si>
    <t>Diavolo</t>
  </si>
  <si>
    <t>apartamenton5432</t>
  </si>
  <si>
    <t>ruapao</t>
  </si>
  <si>
    <t>cidadepao</t>
  </si>
  <si>
    <t>eunaosouochefedamafiaitalianaconfia@gmail.com</t>
  </si>
  <si>
    <t>Rótulos de Linha</t>
  </si>
  <si>
    <t>Total Geral</t>
  </si>
  <si>
    <t>ago</t>
  </si>
  <si>
    <t>set</t>
  </si>
  <si>
    <t>out</t>
  </si>
  <si>
    <t>Soma de Valor Final</t>
  </si>
  <si>
    <t>Relatório de Vendas Mensais</t>
  </si>
  <si>
    <t>Relatório de Desempenho do Vendedor</t>
  </si>
  <si>
    <t>Contagem de Valor Final</t>
  </si>
  <si>
    <t>Relatório de Clientes Fidelizados</t>
  </si>
  <si>
    <t>Relatório de Estoque de Carros</t>
  </si>
  <si>
    <t>Contagem de carros</t>
  </si>
  <si>
    <t>Relatório de Receita por Cidade</t>
  </si>
  <si>
    <t>Relatório de carros vendidos mais recentemente</t>
  </si>
  <si>
    <t>Contagem de carros comprados</t>
  </si>
  <si>
    <t>Relatório de Margens de Lucro</t>
  </si>
  <si>
    <t>Relatório do valor médio das vendas de cada marca de carro</t>
  </si>
  <si>
    <t>Média de Valor Final</t>
  </si>
  <si>
    <t>Relatório da quantidade de marcas vendidas por vendedor</t>
  </si>
  <si>
    <t>Relatório de Distribuição Geográfica de Clientes</t>
  </si>
  <si>
    <t>Contagem de compras</t>
  </si>
  <si>
    <t>Relatório de formas de pagamento mais utilizadas</t>
  </si>
  <si>
    <t>Contagem de Vendas</t>
  </si>
  <si>
    <t>01/out</t>
  </si>
  <si>
    <t>02/out</t>
  </si>
  <si>
    <t>Relatório de Valor Médio das Vendas Mensais</t>
  </si>
  <si>
    <t>Relatório de renda por carro</t>
  </si>
  <si>
    <t>Relatório de marcas favoritas dos clientes</t>
  </si>
  <si>
    <t>Marcas</t>
  </si>
  <si>
    <t>Contagem de clientes</t>
  </si>
  <si>
    <t>Relatório de quantidade de formas de pagamentos por pix da região de Presidente Prudente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</si>
</sst>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opperplate Gothic Light"/>
      <family val="2"/>
    </font>
    <font>
      <sz val="11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DejaVu Sans"/>
      <family val="2"/>
    </font>
    <font>
      <sz val="18"/>
      <color theme="1"/>
      <name val="DejaVu Sans"/>
      <family val="2"/>
    </font>
    <font>
      <sz val="20"/>
      <color theme="1"/>
      <name val="DejaVu Sans"/>
      <family val="2"/>
    </font>
    <font>
      <sz val="22"/>
      <color theme="1"/>
      <name val="DejaVu Sans"/>
      <family val="2"/>
    </font>
  </fonts>
  <fills count="3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5B44A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A4B86"/>
        <bgColor indexed="64"/>
      </patternFill>
    </fill>
    <fill>
      <patternFill patternType="solid">
        <fgColor rgb="FF507BC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19D69"/>
        <bgColor indexed="64"/>
      </patternFill>
    </fill>
    <fill>
      <patternFill patternType="solid">
        <fgColor rgb="FFED7C3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Fill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7" borderId="1" xfId="0" applyFill="1" applyBorder="1"/>
    <xf numFmtId="0" fontId="3" fillId="0" borderId="0" xfId="0" applyFont="1" applyFill="1" applyBorder="1"/>
    <xf numFmtId="0" fontId="0" fillId="0" borderId="0" xfId="0" applyFill="1" applyBorder="1"/>
    <xf numFmtId="0" fontId="4" fillId="6" borderId="1" xfId="0" applyFont="1" applyFill="1" applyBorder="1"/>
    <xf numFmtId="0" fontId="2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ont="1" applyFill="1" applyBorder="1"/>
    <xf numFmtId="0" fontId="0" fillId="18" borderId="1" xfId="0" applyFill="1" applyBorder="1"/>
    <xf numFmtId="0" fontId="0" fillId="19" borderId="1" xfId="0" applyFill="1" applyBorder="1"/>
    <xf numFmtId="0" fontId="0" fillId="0" borderId="0" xfId="0" applyBorder="1"/>
    <xf numFmtId="0" fontId="4" fillId="0" borderId="0" xfId="0" applyFont="1" applyFill="1" applyBorder="1"/>
    <xf numFmtId="0" fontId="0" fillId="13" borderId="1" xfId="0" applyFill="1" applyBorder="1"/>
    <xf numFmtId="0" fontId="0" fillId="12" borderId="1" xfId="0" applyFill="1" applyBorder="1"/>
    <xf numFmtId="0" fontId="0" fillId="0" borderId="1" xfId="0" applyBorder="1" applyAlignment="1">
      <alignment horizontal="left" vertical="center"/>
    </xf>
    <xf numFmtId="0" fontId="5" fillId="0" borderId="1" xfId="2" applyBorder="1" applyAlignment="1">
      <alignment horizontal="left" vertical="center"/>
    </xf>
    <xf numFmtId="0" fontId="2" fillId="0" borderId="0" xfId="0" applyFont="1" applyFill="1" applyBorder="1"/>
    <xf numFmtId="0" fontId="2" fillId="21" borderId="0" xfId="0" applyFont="1" applyFill="1" applyBorder="1"/>
    <xf numFmtId="0" fontId="0" fillId="21" borderId="0" xfId="0" applyFill="1" applyBorder="1"/>
    <xf numFmtId="0" fontId="0" fillId="0" borderId="1" xfId="0" applyBorder="1" applyAlignment="1">
      <alignment horizontal="left"/>
    </xf>
    <xf numFmtId="44" fontId="0" fillId="0" borderId="1" xfId="1" applyFont="1" applyBorder="1" applyAlignment="1">
      <alignment horizontal="left"/>
    </xf>
    <xf numFmtId="0" fontId="3" fillId="22" borderId="0" xfId="0" applyFont="1" applyFill="1" applyBorder="1"/>
    <xf numFmtId="0" fontId="0" fillId="22" borderId="0" xfId="0" applyFill="1" applyBorder="1"/>
    <xf numFmtId="0" fontId="0" fillId="22" borderId="0" xfId="0" applyFill="1"/>
    <xf numFmtId="0" fontId="0" fillId="21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2" fillId="23" borderId="1" xfId="0" applyFont="1" applyFill="1" applyBorder="1"/>
    <xf numFmtId="0" fontId="2" fillId="22" borderId="1" xfId="0" applyFont="1" applyFill="1" applyBorder="1"/>
    <xf numFmtId="0" fontId="2" fillId="24" borderId="1" xfId="0" applyFont="1" applyFill="1" applyBorder="1"/>
    <xf numFmtId="0" fontId="2" fillId="25" borderId="1" xfId="0" applyFont="1" applyFill="1" applyBorder="1"/>
    <xf numFmtId="0" fontId="0" fillId="21" borderId="1" xfId="0" applyFill="1" applyBorder="1" applyAlignment="1">
      <alignment horizontal="left"/>
    </xf>
    <xf numFmtId="0" fontId="2" fillId="23" borderId="0" xfId="0" applyFont="1" applyFill="1" applyBorder="1"/>
    <xf numFmtId="0" fontId="2" fillId="23" borderId="0" xfId="0" applyFont="1" applyFill="1" applyBorder="1" applyAlignment="1">
      <alignment wrapText="1"/>
    </xf>
    <xf numFmtId="0" fontId="2" fillId="28" borderId="1" xfId="0" applyFont="1" applyFill="1" applyBorder="1"/>
    <xf numFmtId="0" fontId="0" fillId="20" borderId="1" xfId="0" applyFill="1" applyBorder="1" applyAlignment="1">
      <alignment horizontal="left"/>
    </xf>
    <xf numFmtId="14" fontId="0" fillId="20" borderId="1" xfId="0" applyNumberFormat="1" applyFill="1" applyBorder="1" applyAlignment="1">
      <alignment horizontal="left"/>
    </xf>
    <xf numFmtId="0" fontId="0" fillId="21" borderId="1" xfId="0" applyFill="1" applyBorder="1" applyAlignment="1">
      <alignment horizontal="left" vertical="center"/>
    </xf>
    <xf numFmtId="0" fontId="0" fillId="0" borderId="1" xfId="1" applyNumberFormat="1" applyFont="1" applyBorder="1" applyAlignment="1">
      <alignment horizontal="left"/>
    </xf>
    <xf numFmtId="0" fontId="0" fillId="0" borderId="1" xfId="0" applyNumberFormat="1" applyBorder="1"/>
    <xf numFmtId="0" fontId="2" fillId="23" borderId="2" xfId="0" applyFont="1" applyFill="1" applyBorder="1"/>
    <xf numFmtId="0" fontId="2" fillId="22" borderId="0" xfId="0" applyFont="1" applyFill="1" applyBorder="1"/>
    <xf numFmtId="44" fontId="0" fillId="22" borderId="0" xfId="1" applyFont="1" applyFill="1" applyBorder="1"/>
    <xf numFmtId="44" fontId="0" fillId="21" borderId="2" xfId="1" applyFont="1" applyFill="1" applyBorder="1"/>
    <xf numFmtId="44" fontId="0" fillId="20" borderId="1" xfId="1" applyFont="1" applyFill="1" applyBorder="1" applyAlignment="1">
      <alignment horizontal="left"/>
    </xf>
    <xf numFmtId="0" fontId="2" fillId="29" borderId="2" xfId="0" applyFont="1" applyFill="1" applyBorder="1"/>
    <xf numFmtId="0" fontId="2" fillId="23" borderId="3" xfId="0" applyFont="1" applyFill="1" applyBorder="1"/>
    <xf numFmtId="0" fontId="0" fillId="21" borderId="4" xfId="0" applyFont="1" applyFill="1" applyBorder="1" applyAlignment="1">
      <alignment horizontal="left" vertical="center"/>
    </xf>
    <xf numFmtId="44" fontId="0" fillId="21" borderId="4" xfId="1" applyFont="1" applyFill="1" applyBorder="1" applyAlignment="1">
      <alignment horizontal="left" vertical="center"/>
    </xf>
    <xf numFmtId="14" fontId="0" fillId="21" borderId="4" xfId="0" applyNumberFormat="1" applyFont="1" applyFill="1" applyBorder="1" applyAlignment="1">
      <alignment horizontal="left" vertical="center"/>
    </xf>
    <xf numFmtId="14" fontId="0" fillId="22" borderId="0" xfId="0" applyNumberFormat="1" applyFill="1"/>
    <xf numFmtId="0" fontId="0" fillId="21" borderId="1" xfId="0" applyFont="1" applyFill="1" applyBorder="1" applyAlignment="1">
      <alignment horizontal="left"/>
    </xf>
    <xf numFmtId="14" fontId="0" fillId="21" borderId="1" xfId="0" applyNumberFormat="1" applyFont="1" applyFill="1" applyBorder="1" applyAlignment="1">
      <alignment horizontal="left"/>
    </xf>
    <xf numFmtId="44" fontId="0" fillId="21" borderId="1" xfId="1" applyFont="1" applyFill="1" applyBorder="1" applyAlignment="1">
      <alignment horizontal="left"/>
    </xf>
    <xf numFmtId="14" fontId="0" fillId="21" borderId="5" xfId="0" applyNumberFormat="1" applyFont="1" applyFill="1" applyBorder="1" applyAlignment="1">
      <alignment horizontal="left"/>
    </xf>
    <xf numFmtId="0" fontId="0" fillId="21" borderId="5" xfId="0" applyFont="1" applyFill="1" applyBorder="1" applyAlignment="1">
      <alignment horizontal="left"/>
    </xf>
    <xf numFmtId="44" fontId="0" fillId="21" borderId="5" xfId="1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NumberFormat="1"/>
    <xf numFmtId="44" fontId="0" fillId="0" borderId="0" xfId="1" applyFont="1"/>
    <xf numFmtId="0" fontId="0" fillId="0" borderId="0" xfId="0" applyAlignment="1">
      <alignment horizontal="left" indent="1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3">
    <cellStyle name="Hiperlink" xfId="2" builtinId="8"/>
    <cellStyle name="Moeda" xfId="1" builtinId="4"/>
    <cellStyle name="Normal" xfId="0" builtinId="0"/>
  </cellStyles>
  <dxfs count="1"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75B44A"/>
      <color rgb="FF2A4B86"/>
      <color rgb="FF507BC8"/>
      <color rgb="FFED7C37"/>
      <color rgb="FFF19D69"/>
      <color rgb="FFFF8601"/>
      <color rgb="FF3C6ABE"/>
      <color rgb="FF618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vendas (incompleto).xlsm]Relatório-3!Tabela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'Relatório-3'!$B$3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'Relatório-3'!$A$4:$A$35</c:f>
              <c:multiLvlStrCache>
                <c:ptCount val="11"/>
                <c:lvl>
                  <c:pt idx="0">
                    <c:v> fvg23bu09</c:v>
                  </c:pt>
                  <c:pt idx="1">
                    <c:v>wqodn1209u</c:v>
                  </c:pt>
                  <c:pt idx="2">
                    <c:v>fbg98423hr</c:v>
                  </c:pt>
                  <c:pt idx="3">
                    <c:v>r9173r831yh</c:v>
                  </c:pt>
                  <c:pt idx="4">
                    <c:v>hqfewhqih</c:v>
                  </c:pt>
                  <c:pt idx="5">
                    <c:v>1o3ry71397</c:v>
                  </c:pt>
                  <c:pt idx="6">
                    <c:v>gjue45mkj</c:v>
                  </c:pt>
                  <c:pt idx="7">
                    <c:v>1234</c:v>
                  </c:pt>
                  <c:pt idx="8">
                    <c:v>3i9urh13987rh</c:v>
                  </c:pt>
                  <c:pt idx="9">
                    <c:v>8f231rfi23r</c:v>
                  </c:pt>
                  <c:pt idx="10">
                    <c:v>hr9138r</c:v>
                  </c:pt>
                </c:lvl>
                <c:lvl>
                  <c:pt idx="0">
                    <c:v> fvg23bu09</c:v>
                  </c:pt>
                  <c:pt idx="1">
                    <c:v>wqodn1209u</c:v>
                  </c:pt>
                  <c:pt idx="2">
                    <c:v>fbg98423hr</c:v>
                  </c:pt>
                  <c:pt idx="3">
                    <c:v>r9173r831yh</c:v>
                  </c:pt>
                  <c:pt idx="4">
                    <c:v>hqfewhqih</c:v>
                  </c:pt>
                  <c:pt idx="5">
                    <c:v>1o3ry71397</c:v>
                  </c:pt>
                  <c:pt idx="6">
                    <c:v>gjue45mkj</c:v>
                  </c:pt>
                  <c:pt idx="7">
                    <c:v>1234</c:v>
                  </c:pt>
                  <c:pt idx="8">
                    <c:v>3i9urh13987rh</c:v>
                  </c:pt>
                  <c:pt idx="9">
                    <c:v>8f231rfi23r</c:v>
                  </c:pt>
                  <c:pt idx="10">
                    <c:v>hr9138r</c:v>
                  </c:pt>
                </c:lvl>
                <c:lvl>
                  <c:pt idx="0">
                    <c:v>Civic</c:v>
                  </c:pt>
                  <c:pt idx="2">
                    <c:v>Classe C</c:v>
                  </c:pt>
                  <c:pt idx="4">
                    <c:v>Corolla</c:v>
                  </c:pt>
                  <c:pt idx="5">
                    <c:v>Golf</c:v>
                  </c:pt>
                  <c:pt idx="6">
                    <c:v>Iron High</c:v>
                  </c:pt>
                  <c:pt idx="7">
                    <c:v>Megatron</c:v>
                  </c:pt>
                  <c:pt idx="8">
                    <c:v>Rogue</c:v>
                  </c:pt>
                  <c:pt idx="9">
                    <c:v>Star Scream</c:v>
                  </c:pt>
                  <c:pt idx="10">
                    <c:v>Série 3</c:v>
                  </c:pt>
                </c:lvl>
              </c:multiLvlStrCache>
            </c:multiLvlStrRef>
          </c:cat>
          <c:val>
            <c:numRef>
              <c:f>'Relatório-3'!$B$4:$B$35</c:f>
              <c:numCache>
                <c:formatCode>_("R$"* #,##0.00_);_("R$"* \(#,##0.00\);_("R$"* "-"??_);_(@_)</c:formatCode>
                <c:ptCount val="11"/>
                <c:pt idx="0">
                  <c:v>833000</c:v>
                </c:pt>
                <c:pt idx="1">
                  <c:v>833000</c:v>
                </c:pt>
                <c:pt idx="2">
                  <c:v>1581000</c:v>
                </c:pt>
                <c:pt idx="3">
                  <c:v>1581000</c:v>
                </c:pt>
                <c:pt idx="4">
                  <c:v>900000</c:v>
                </c:pt>
                <c:pt idx="5">
                  <c:v>735000</c:v>
                </c:pt>
                <c:pt idx="6">
                  <c:v>1.86E+16</c:v>
                </c:pt>
                <c:pt idx="7">
                  <c:v>1860000000</c:v>
                </c:pt>
                <c:pt idx="8">
                  <c:v>1209000</c:v>
                </c:pt>
                <c:pt idx="9">
                  <c:v>1.9E+16</c:v>
                </c:pt>
                <c:pt idx="10">
                  <c:v>152000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9-4D52-9834-496693A5D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9482031"/>
        <c:axId val="1590805103"/>
      </c:barChart>
      <c:catAx>
        <c:axId val="158948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0805103"/>
        <c:crosses val="autoZero"/>
        <c:auto val="1"/>
        <c:lblAlgn val="ctr"/>
        <c:lblOffset val="100"/>
        <c:noMultiLvlLbl val="0"/>
      </c:catAx>
      <c:valAx>
        <c:axId val="15908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48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vendas (incompleto).xlsm]Relatório-4!Tabela dinâmica4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'Relatório-4'!$B$3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'Relatório-4'!$A$4:$A$31</c:f>
              <c:multiLvlStrCache>
                <c:ptCount val="18"/>
                <c:lvl>
                  <c:pt idx="0">
                    <c:v>set</c:v>
                  </c:pt>
                  <c:pt idx="1">
                    <c:v>ago</c:v>
                  </c:pt>
                  <c:pt idx="2">
                    <c:v>set</c:v>
                  </c:pt>
                  <c:pt idx="3">
                    <c:v>out</c:v>
                  </c:pt>
                  <c:pt idx="4">
                    <c:v>ago</c:v>
                  </c:pt>
                  <c:pt idx="5">
                    <c:v>set</c:v>
                  </c:pt>
                  <c:pt idx="6">
                    <c:v>ago</c:v>
                  </c:pt>
                  <c:pt idx="7">
                    <c:v>set</c:v>
                  </c:pt>
                  <c:pt idx="8">
                    <c:v>out</c:v>
                  </c:pt>
                  <c:pt idx="9">
                    <c:v>set</c:v>
                  </c:pt>
                  <c:pt idx="10">
                    <c:v>ago</c:v>
                  </c:pt>
                  <c:pt idx="11">
                    <c:v>set</c:v>
                  </c:pt>
                  <c:pt idx="12">
                    <c:v>ago</c:v>
                  </c:pt>
                  <c:pt idx="13">
                    <c:v>set</c:v>
                  </c:pt>
                  <c:pt idx="14">
                    <c:v>out</c:v>
                  </c:pt>
                  <c:pt idx="15">
                    <c:v>ago</c:v>
                  </c:pt>
                  <c:pt idx="16">
                    <c:v>set</c:v>
                  </c:pt>
                  <c:pt idx="17">
                    <c:v>set</c:v>
                  </c:pt>
                </c:lvl>
                <c:lvl>
                  <c:pt idx="0">
                    <c:v>Civic</c:v>
                  </c:pt>
                  <c:pt idx="1">
                    <c:v>Classe C</c:v>
                  </c:pt>
                  <c:pt idx="4">
                    <c:v>Corolla</c:v>
                  </c:pt>
                  <c:pt idx="6">
                    <c:v>Golf</c:v>
                  </c:pt>
                  <c:pt idx="9">
                    <c:v>Iron High</c:v>
                  </c:pt>
                  <c:pt idx="10">
                    <c:v>Megatron</c:v>
                  </c:pt>
                  <c:pt idx="12">
                    <c:v>Rogue</c:v>
                  </c:pt>
                  <c:pt idx="15">
                    <c:v>Star Scream</c:v>
                  </c:pt>
                  <c:pt idx="17">
                    <c:v>Série 3</c:v>
                  </c:pt>
                </c:lvl>
              </c:multiLvlStrCache>
            </c:multiLvlStrRef>
          </c:cat>
          <c:val>
            <c:numRef>
              <c:f>'Relatório-4'!$B$4:$B$31</c:f>
              <c:numCache>
                <c:formatCode>_("R$"* #,##0.00_);_("R$"* \(#,##0.00\);_("R$"* "-"??_);_(@_)</c:formatCode>
                <c:ptCount val="18"/>
                <c:pt idx="0">
                  <c:v>1666000</c:v>
                </c:pt>
                <c:pt idx="1">
                  <c:v>632400</c:v>
                </c:pt>
                <c:pt idx="2">
                  <c:v>2371500</c:v>
                </c:pt>
                <c:pt idx="3">
                  <c:v>158100</c:v>
                </c:pt>
                <c:pt idx="4">
                  <c:v>450000</c:v>
                </c:pt>
                <c:pt idx="5">
                  <c:v>450000</c:v>
                </c:pt>
                <c:pt idx="6">
                  <c:v>294000</c:v>
                </c:pt>
                <c:pt idx="7">
                  <c:v>367500</c:v>
                </c:pt>
                <c:pt idx="8">
                  <c:v>73500</c:v>
                </c:pt>
                <c:pt idx="9">
                  <c:v>1.86E+16</c:v>
                </c:pt>
                <c:pt idx="10">
                  <c:v>930000000</c:v>
                </c:pt>
                <c:pt idx="11">
                  <c:v>930000000</c:v>
                </c:pt>
                <c:pt idx="12">
                  <c:v>483600</c:v>
                </c:pt>
                <c:pt idx="13">
                  <c:v>604500</c:v>
                </c:pt>
                <c:pt idx="14">
                  <c:v>120900</c:v>
                </c:pt>
                <c:pt idx="15">
                  <c:v>7600000000000000</c:v>
                </c:pt>
                <c:pt idx="16">
                  <c:v>1.14E+16</c:v>
                </c:pt>
                <c:pt idx="17">
                  <c:v>152000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F-4C4B-B02A-166AE0BD9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9494751"/>
        <c:axId val="1589100463"/>
      </c:barChart>
      <c:catAx>
        <c:axId val="161949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100463"/>
        <c:crosses val="autoZero"/>
        <c:auto val="1"/>
        <c:lblAlgn val="ctr"/>
        <c:lblOffset val="100"/>
        <c:noMultiLvlLbl val="0"/>
      </c:catAx>
      <c:valAx>
        <c:axId val="158910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9494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vendas (incompleto).xlsm]Relatório-9!Tabela dinâmica10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'Relatório-9'!$B$3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'Relatório-9'!$A$4:$A$20</c:f>
              <c:multiLvlStrCache>
                <c:ptCount val="11"/>
                <c:lvl>
                  <c:pt idx="0">
                    <c:v>3i9urh13987rh</c:v>
                  </c:pt>
                  <c:pt idx="1">
                    <c:v>hr9138r</c:v>
                  </c:pt>
                  <c:pt idx="2">
                    <c:v> fvg23bu09</c:v>
                  </c:pt>
                  <c:pt idx="3">
                    <c:v>hqfewhqih</c:v>
                  </c:pt>
                  <c:pt idx="4">
                    <c:v>1234</c:v>
                  </c:pt>
                  <c:pt idx="5">
                    <c:v>gjue45mkj</c:v>
                  </c:pt>
                  <c:pt idx="6">
                    <c:v>fbg98423hr</c:v>
                  </c:pt>
                  <c:pt idx="7">
                    <c:v>r9173r831yh</c:v>
                  </c:pt>
                  <c:pt idx="8">
                    <c:v>wqodn1209u</c:v>
                  </c:pt>
                  <c:pt idx="9">
                    <c:v>1o3ry71397</c:v>
                  </c:pt>
                  <c:pt idx="10">
                    <c:v>8f231rfi23r</c:v>
                  </c:pt>
                </c:lvl>
                <c:lvl>
                  <c:pt idx="0">
                    <c:v>Bills</c:v>
                  </c:pt>
                  <c:pt idx="2">
                    <c:v>Broly</c:v>
                  </c:pt>
                  <c:pt idx="4">
                    <c:v>Goku Black (Zamasu)</c:v>
                  </c:pt>
                  <c:pt idx="6">
                    <c:v>Mestre Kame</c:v>
                  </c:pt>
                  <c:pt idx="9">
                    <c:v>Yamcha</c:v>
                  </c:pt>
                </c:lvl>
              </c:multiLvlStrCache>
            </c:multiLvlStrRef>
          </c:cat>
          <c:val>
            <c:numRef>
              <c:f>'Relatório-9'!$B$4:$B$20</c:f>
              <c:numCache>
                <c:formatCode>General</c:formatCode>
                <c:ptCount val="11"/>
                <c:pt idx="0">
                  <c:v>10</c:v>
                </c:pt>
                <c:pt idx="1">
                  <c:v>1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7-4CE9-AA20-3871F78B6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844847"/>
        <c:axId val="1617049055"/>
      </c:barChart>
      <c:catAx>
        <c:axId val="1593844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049055"/>
        <c:crosses val="autoZero"/>
        <c:auto val="1"/>
        <c:lblAlgn val="ctr"/>
        <c:lblOffset val="100"/>
        <c:noMultiLvlLbl val="0"/>
      </c:catAx>
      <c:valAx>
        <c:axId val="161704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844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9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9526</xdr:rowOff>
    </xdr:from>
    <xdr:to>
      <xdr:col>9</xdr:col>
      <xdr:colOff>1</xdr:colOff>
      <xdr:row>1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9C5D411-0398-4D66-98FA-5FDEFF20755B}"/>
            </a:ext>
          </a:extLst>
        </xdr:cNvPr>
        <xdr:cNvSpPr/>
      </xdr:nvSpPr>
      <xdr:spPr>
        <a:xfrm>
          <a:off x="609601" y="9526"/>
          <a:ext cx="9734550" cy="571499"/>
        </a:xfrm>
        <a:prstGeom prst="rect">
          <a:avLst/>
        </a:prstGeom>
        <a:solidFill>
          <a:schemeClr val="accent6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tx1"/>
              </a:solidFill>
              <a:latin typeface="Baskerville Old Face" panose="02020602080505020303" pitchFamily="18" charset="0"/>
            </a:rPr>
            <a:t>SISTEMA DE VENDAS | Tablea de cadastro de Clientes</a:t>
          </a:r>
        </a:p>
      </xdr:txBody>
    </xdr:sp>
    <xdr:clientData/>
  </xdr:twoCellAnchor>
  <xdr:twoCellAnchor editAs="oneCell">
    <xdr:from>
      <xdr:col>3</xdr:col>
      <xdr:colOff>209550</xdr:colOff>
      <xdr:row>4</xdr:row>
      <xdr:rowOff>123825</xdr:rowOff>
    </xdr:from>
    <xdr:to>
      <xdr:col>4</xdr:col>
      <xdr:colOff>152400</xdr:colOff>
      <xdr:row>9</xdr:row>
      <xdr:rowOff>85725</xdr:rowOff>
    </xdr:to>
    <xdr:pic macro="[0]!Concluir_cliente">
      <xdr:nvPicPr>
        <xdr:cNvPr id="4" name="Gráfico 3" descr="Marca de seleção">
          <a:extLst>
            <a:ext uri="{FF2B5EF4-FFF2-40B4-BE49-F238E27FC236}">
              <a16:creationId xmlns:a16="http://schemas.microsoft.com/office/drawing/2014/main" id="{6A4B5E2E-B107-451E-A21E-06897D17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81750" y="1104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8</xdr:col>
      <xdr:colOff>140475</xdr:colOff>
      <xdr:row>4</xdr:row>
      <xdr:rowOff>102375</xdr:rowOff>
    </xdr:from>
    <xdr:to>
      <xdr:col>8</xdr:col>
      <xdr:colOff>1054875</xdr:colOff>
      <xdr:row>9</xdr:row>
      <xdr:rowOff>64275</xdr:rowOff>
    </xdr:to>
    <xdr:pic macro="[0]!Apagar_cliente">
      <xdr:nvPicPr>
        <xdr:cNvPr id="6" name="Gráfico 5" descr="Fechar">
          <a:extLst>
            <a:ext uri="{FF2B5EF4-FFF2-40B4-BE49-F238E27FC236}">
              <a16:creationId xmlns:a16="http://schemas.microsoft.com/office/drawing/2014/main" id="{4D4189E1-ED94-4D85-9AD5-DD4FBC5C4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484500" y="10834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547650</xdr:colOff>
      <xdr:row>4</xdr:row>
      <xdr:rowOff>109500</xdr:rowOff>
    </xdr:from>
    <xdr:to>
      <xdr:col>6</xdr:col>
      <xdr:colOff>147600</xdr:colOff>
      <xdr:row>9</xdr:row>
      <xdr:rowOff>71400</xdr:rowOff>
    </xdr:to>
    <xdr:pic macro="[0]!Limpar_cliente">
      <xdr:nvPicPr>
        <xdr:cNvPr id="8" name="Gráfico 7" descr="Atualizar">
          <a:extLst>
            <a:ext uri="{FF2B5EF4-FFF2-40B4-BE49-F238E27FC236}">
              <a16:creationId xmlns:a16="http://schemas.microsoft.com/office/drawing/2014/main" id="{25116B08-3BC2-42FA-A707-DF77C19DA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39050" y="10905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9526</xdr:rowOff>
    </xdr:from>
    <xdr:to>
      <xdr:col>9</xdr:col>
      <xdr:colOff>1</xdr:colOff>
      <xdr:row>1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F915221-6C38-441A-A19E-E71414B60957}"/>
            </a:ext>
          </a:extLst>
        </xdr:cNvPr>
        <xdr:cNvSpPr/>
      </xdr:nvSpPr>
      <xdr:spPr>
        <a:xfrm>
          <a:off x="609601" y="9526"/>
          <a:ext cx="9734550" cy="571499"/>
        </a:xfrm>
        <a:prstGeom prst="rect">
          <a:avLst/>
        </a:prstGeom>
        <a:solidFill>
          <a:schemeClr val="accent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tx1"/>
              </a:solidFill>
              <a:latin typeface="Baskerville Old Face" panose="02020602080505020303" pitchFamily="18" charset="0"/>
            </a:rPr>
            <a:t>SISTEMA DE VENDAS | Tablea de Produtos</a:t>
          </a:r>
        </a:p>
      </xdr:txBody>
    </xdr:sp>
    <xdr:clientData/>
  </xdr:twoCellAnchor>
  <xdr:twoCellAnchor editAs="oneCell">
    <xdr:from>
      <xdr:col>5</xdr:col>
      <xdr:colOff>547650</xdr:colOff>
      <xdr:row>4</xdr:row>
      <xdr:rowOff>109500</xdr:rowOff>
    </xdr:from>
    <xdr:to>
      <xdr:col>6</xdr:col>
      <xdr:colOff>498344</xdr:colOff>
      <xdr:row>9</xdr:row>
      <xdr:rowOff>71400</xdr:rowOff>
    </xdr:to>
    <xdr:pic macro="[0]!Limpar_produto">
      <xdr:nvPicPr>
        <xdr:cNvPr id="5" name="Gráfico 4" descr="Atualizar">
          <a:extLst>
            <a:ext uri="{FF2B5EF4-FFF2-40B4-BE49-F238E27FC236}">
              <a16:creationId xmlns:a16="http://schemas.microsoft.com/office/drawing/2014/main" id="{9AA1F7C8-A4F9-45E4-9C2A-1AEE48DAE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39050" y="10905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882465</xdr:colOff>
      <xdr:row>4</xdr:row>
      <xdr:rowOff>45384</xdr:rowOff>
    </xdr:from>
    <xdr:to>
      <xdr:col>6</xdr:col>
      <xdr:colOff>1792382</xdr:colOff>
      <xdr:row>9</xdr:row>
      <xdr:rowOff>7284</xdr:rowOff>
    </xdr:to>
    <xdr:pic macro="[0]!Apagar_produto">
      <xdr:nvPicPr>
        <xdr:cNvPr id="6" name="Gráfico 5" descr="Fechar">
          <a:extLst>
            <a:ext uri="{FF2B5EF4-FFF2-40B4-BE49-F238E27FC236}">
              <a16:creationId xmlns:a16="http://schemas.microsoft.com/office/drawing/2014/main" id="{9CE3B519-3C56-44D7-9E9E-7126B0CE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23053" y="1031502"/>
          <a:ext cx="9099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212911</xdr:colOff>
      <xdr:row>3</xdr:row>
      <xdr:rowOff>156882</xdr:rowOff>
    </xdr:from>
    <xdr:to>
      <xdr:col>5</xdr:col>
      <xdr:colOff>89647</xdr:colOff>
      <xdr:row>9</xdr:row>
      <xdr:rowOff>100853</xdr:rowOff>
    </xdr:to>
    <xdr:pic macro="[0]!Concluir_produto">
      <xdr:nvPicPr>
        <xdr:cNvPr id="7" name="Gráfico 6" descr="Marca de seleção">
          <a:extLst>
            <a:ext uri="{FF2B5EF4-FFF2-40B4-BE49-F238E27FC236}">
              <a16:creationId xmlns:a16="http://schemas.microsoft.com/office/drawing/2014/main" id="{6DF55F7F-3E38-48B0-8FC1-75824D86A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76146" y="952500"/>
          <a:ext cx="1086971" cy="10869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9526</xdr:rowOff>
    </xdr:from>
    <xdr:to>
      <xdr:col>9</xdr:col>
      <xdr:colOff>1</xdr:colOff>
      <xdr:row>1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3EFE84C-F295-46EF-B543-E6C5F3D25866}"/>
            </a:ext>
          </a:extLst>
        </xdr:cNvPr>
        <xdr:cNvSpPr/>
      </xdr:nvSpPr>
      <xdr:spPr>
        <a:xfrm>
          <a:off x="609601" y="9526"/>
          <a:ext cx="9734550" cy="571499"/>
        </a:xfrm>
        <a:prstGeom prst="rect">
          <a:avLst/>
        </a:prstGeom>
        <a:solidFill>
          <a:srgbClr val="FF860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tx1"/>
              </a:solidFill>
              <a:latin typeface="Baskerville Old Face" panose="02020602080505020303" pitchFamily="18" charset="0"/>
            </a:rPr>
            <a:t>SISTEMA DE VENDAS | Tablea de Colaboradores</a:t>
          </a:r>
        </a:p>
      </xdr:txBody>
    </xdr:sp>
    <xdr:clientData/>
  </xdr:twoCellAnchor>
  <xdr:twoCellAnchor editAs="oneCell">
    <xdr:from>
      <xdr:col>3</xdr:col>
      <xdr:colOff>209550</xdr:colOff>
      <xdr:row>4</xdr:row>
      <xdr:rowOff>123825</xdr:rowOff>
    </xdr:from>
    <xdr:to>
      <xdr:col>4</xdr:col>
      <xdr:colOff>400050</xdr:colOff>
      <xdr:row>9</xdr:row>
      <xdr:rowOff>85725</xdr:rowOff>
    </xdr:to>
    <xdr:pic macro="[0]!Concluir_colaborador">
      <xdr:nvPicPr>
        <xdr:cNvPr id="3" name="Gráfico 2" descr="Marca de seleção">
          <a:extLst>
            <a:ext uri="{FF2B5EF4-FFF2-40B4-BE49-F238E27FC236}">
              <a16:creationId xmlns:a16="http://schemas.microsoft.com/office/drawing/2014/main" id="{8F568BC6-BA13-456E-BB11-BA4521896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81750" y="1104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1426350</xdr:colOff>
      <xdr:row>4</xdr:row>
      <xdr:rowOff>83325</xdr:rowOff>
    </xdr:from>
    <xdr:to>
      <xdr:col>6</xdr:col>
      <xdr:colOff>2340750</xdr:colOff>
      <xdr:row>9</xdr:row>
      <xdr:rowOff>45225</xdr:rowOff>
    </xdr:to>
    <xdr:pic macro="[0]!Apagar_colaborador">
      <xdr:nvPicPr>
        <xdr:cNvPr id="4" name="Gráfico 3" descr="Fechar">
          <a:extLst>
            <a:ext uri="{FF2B5EF4-FFF2-40B4-BE49-F238E27FC236}">
              <a16:creationId xmlns:a16="http://schemas.microsoft.com/office/drawing/2014/main" id="{6D4DCF8E-41CF-43DA-8C71-78AB0815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65475" y="1064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547650</xdr:colOff>
      <xdr:row>4</xdr:row>
      <xdr:rowOff>109500</xdr:rowOff>
    </xdr:from>
    <xdr:to>
      <xdr:col>6</xdr:col>
      <xdr:colOff>728625</xdr:colOff>
      <xdr:row>9</xdr:row>
      <xdr:rowOff>71400</xdr:rowOff>
    </xdr:to>
    <xdr:pic macro="[0]!Limpar_colaborador">
      <xdr:nvPicPr>
        <xdr:cNvPr id="5" name="Gráfico 4" descr="Atualizar">
          <a:extLst>
            <a:ext uri="{FF2B5EF4-FFF2-40B4-BE49-F238E27FC236}">
              <a16:creationId xmlns:a16="http://schemas.microsoft.com/office/drawing/2014/main" id="{44C78866-683A-45A2-AE97-21FC68555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39050" y="1090575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9526</xdr:rowOff>
    </xdr:from>
    <xdr:to>
      <xdr:col>9</xdr:col>
      <xdr:colOff>1</xdr:colOff>
      <xdr:row>1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EF040F6E-D54C-4EF6-82E0-D448384F8A5B}"/>
            </a:ext>
          </a:extLst>
        </xdr:cNvPr>
        <xdr:cNvSpPr/>
      </xdr:nvSpPr>
      <xdr:spPr>
        <a:xfrm>
          <a:off x="609601" y="9526"/>
          <a:ext cx="9734550" cy="571499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tx1"/>
              </a:solidFill>
              <a:latin typeface="Baskerville Old Face" panose="02020602080505020303" pitchFamily="18" charset="0"/>
            </a:rPr>
            <a:t>SISTEMA DE VENDAS | Tablea de Vendas</a:t>
          </a:r>
        </a:p>
      </xdr:txBody>
    </xdr:sp>
    <xdr:clientData/>
  </xdr:twoCellAnchor>
  <xdr:twoCellAnchor editAs="oneCell">
    <xdr:from>
      <xdr:col>8</xdr:col>
      <xdr:colOff>140475</xdr:colOff>
      <xdr:row>4</xdr:row>
      <xdr:rowOff>102375</xdr:rowOff>
    </xdr:from>
    <xdr:to>
      <xdr:col>9</xdr:col>
      <xdr:colOff>138794</xdr:colOff>
      <xdr:row>9</xdr:row>
      <xdr:rowOff>64275</xdr:rowOff>
    </xdr:to>
    <xdr:pic macro="[0]!Apagar_venda">
      <xdr:nvPicPr>
        <xdr:cNvPr id="4" name="Gráfico 3" descr="Fechar">
          <a:extLst>
            <a:ext uri="{FF2B5EF4-FFF2-40B4-BE49-F238E27FC236}">
              <a16:creationId xmlns:a16="http://schemas.microsoft.com/office/drawing/2014/main" id="{96CF90C9-7B11-47C5-8D5D-5140EC80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84500" y="10834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547650</xdr:colOff>
      <xdr:row>4</xdr:row>
      <xdr:rowOff>109500</xdr:rowOff>
    </xdr:from>
    <xdr:to>
      <xdr:col>6</xdr:col>
      <xdr:colOff>91571</xdr:colOff>
      <xdr:row>9</xdr:row>
      <xdr:rowOff>71400</xdr:rowOff>
    </xdr:to>
    <xdr:pic macro="[0]!Limpar_venda">
      <xdr:nvPicPr>
        <xdr:cNvPr id="5" name="Gráfico 4" descr="Atualizar">
          <a:extLst>
            <a:ext uri="{FF2B5EF4-FFF2-40B4-BE49-F238E27FC236}">
              <a16:creationId xmlns:a16="http://schemas.microsoft.com/office/drawing/2014/main" id="{3E234F3C-38FC-4B5D-95E6-A92A0015E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939050" y="10905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714375</xdr:colOff>
      <xdr:row>4</xdr:row>
      <xdr:rowOff>133350</xdr:rowOff>
    </xdr:from>
    <xdr:to>
      <xdr:col>4</xdr:col>
      <xdr:colOff>351944</xdr:colOff>
      <xdr:row>9</xdr:row>
      <xdr:rowOff>95329</xdr:rowOff>
    </xdr:to>
    <xdr:pic macro="[0]!Concluir_venda">
      <xdr:nvPicPr>
        <xdr:cNvPr id="6" name="Imagem 5">
          <a:extLst>
            <a:ext uri="{FF2B5EF4-FFF2-40B4-BE49-F238E27FC236}">
              <a16:creationId xmlns:a16="http://schemas.microsoft.com/office/drawing/2014/main" id="{B1CD125E-2654-406B-BD60-8224CBF8E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91350" y="1114425"/>
          <a:ext cx="914479" cy="9144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323007</xdr:colOff>
      <xdr:row>0</xdr:row>
      <xdr:rowOff>107295</xdr:rowOff>
    </xdr:from>
    <xdr:to>
      <xdr:col>21</xdr:col>
      <xdr:colOff>470646</xdr:colOff>
      <xdr:row>25</xdr:row>
      <xdr:rowOff>163605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A72E6B-E7F6-475A-8B9B-B85BEA623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3400</xdr:colOff>
      <xdr:row>2</xdr:row>
      <xdr:rowOff>4081</xdr:rowOff>
    </xdr:from>
    <xdr:to>
      <xdr:col>19</xdr:col>
      <xdr:colOff>310243</xdr:colOff>
      <xdr:row>29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61F1A42-B04E-493A-A65B-0729CEFAAE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190499</xdr:rowOff>
    </xdr:from>
    <xdr:to>
      <xdr:col>14</xdr:col>
      <xdr:colOff>142874</xdr:colOff>
      <xdr:row>24</xdr:row>
      <xdr:rowOff>28574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06EA121-DBD5-4F92-8895-050C3CD69C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182.892872916666" createdVersion="6" refreshedVersion="6" minRefreshableVersion="3" recordCount="101" xr:uid="{BAAE5FE5-1967-4517-AFAA-17CE1B4000E7}">
  <cacheSource type="worksheet">
    <worksheetSource ref="B19:M120" sheet="VENDAS"/>
  </cacheSource>
  <cacheFields count="13">
    <cacheField name="Data" numFmtId="14">
      <sharedItems containsSemiMixedTypes="0" containsNonDate="0" containsDate="1" containsString="0" minDate="2023-08-30T00:00:00" maxDate="2023-10-03T00:00:00" count="34">
        <d v="2023-09-13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08-30T00:00:00"/>
        <d v="2023-08-31T00:00:00"/>
        <d v="2023-09-01T00:00:00"/>
        <d v="2023-09-02T00:00:00"/>
        <d v="2023-09-03T00:00:00"/>
        <d v="2023-09-04T00:00:00"/>
        <d v="2023-09-05T00:00:00"/>
      </sharedItems>
      <fieldGroup par="12" base="0">
        <rangePr groupBy="days" startDate="2023-08-30T00:00:00" endDate="2023-10-03T00:00:00"/>
        <groupItems count="368">
          <s v="&lt;30/08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3/10/2023"/>
        </groupItems>
      </fieldGroup>
    </cacheField>
    <cacheField name="Cpf" numFmtId="0">
      <sharedItems containsSemiMixedTypes="0" containsString="0" containsNumber="1" containsInteger="1" minValue="12312" maxValue="69696969"/>
    </cacheField>
    <cacheField name="Nome" numFmtId="0">
      <sharedItems count="8">
        <s v="Diavolo"/>
        <s v="Knuckels o echidna"/>
        <s v="Sombra o ouriço"/>
        <s v="Atilio N"/>
        <s v="Diego S"/>
        <s v="lalau"/>
        <s v="fafas"/>
        <s v="Amy rose"/>
      </sharedItems>
    </cacheField>
    <cacheField name="Fone" numFmtId="0">
      <sharedItems containsSemiMixedTypes="0" containsString="0" containsNumber="1" containsInteger="1" minValue="9182471" maxValue="29184123947"/>
    </cacheField>
    <cacheField name="Cidade" numFmtId="0">
      <sharedItems count="4">
        <s v="cidadepao"/>
        <s v="oceano atlântico"/>
        <s v="south island"/>
        <s v="Presidente Prudente"/>
      </sharedItems>
    </cacheField>
    <cacheField name="Chassi" numFmtId="0">
      <sharedItems containsMixedTypes="1" containsNumber="1" containsInteger="1" minValue="1234" maxValue="1234" count="11">
        <s v="hr9138r"/>
        <s v="gjue45mkj"/>
        <s v="wqodn1209u"/>
        <s v="fbg98423hr"/>
        <s v=" fvg23bu09"/>
        <s v="8f231rfi23r"/>
        <s v="3i9urh13987rh"/>
        <s v="1o3ry71397"/>
        <n v="1234"/>
        <s v="hqfewhqih"/>
        <s v="r9173r831yh"/>
      </sharedItems>
    </cacheField>
    <cacheField name="Modelo" numFmtId="0">
      <sharedItems count="9">
        <s v="Série 3"/>
        <s v="Iron High"/>
        <s v="Civic"/>
        <s v="Classe C"/>
        <s v="Star Scream"/>
        <s v="Rogue"/>
        <s v="Golf"/>
        <s v="Megatron"/>
        <s v="Corolla"/>
      </sharedItems>
    </cacheField>
    <cacheField name="Marca" numFmtId="0">
      <sharedItems containsMixedTypes="1" containsNumber="1" containsInteger="1" minValue="1234" maxValue="1234" count="11">
        <s v="hr9138r"/>
        <s v="gjue45mkj"/>
        <s v="wqodn1209u"/>
        <s v="fbg98423hr"/>
        <s v=" fvg23bu09"/>
        <s v="8f231rfi23r"/>
        <s v="3i9urh13987rh"/>
        <s v="1o3ry71397"/>
        <n v="1234"/>
        <s v="hqfewhqih"/>
        <s v="r9173r831yh"/>
      </sharedItems>
    </cacheField>
    <cacheField name="Vendedor" numFmtId="0">
      <sharedItems count="5">
        <s v="Bills"/>
        <s v="Goku Black (Zamasu)"/>
        <s v="Mestre Kame"/>
        <s v="Broly"/>
        <s v="Yamcha"/>
      </sharedItems>
    </cacheField>
    <cacheField name="Valor Bruto" numFmtId="44">
      <sharedItems containsSemiMixedTypes="0" containsString="0" containsNumber="1" containsInteger="1" minValue="75000" maxValue="2000000000000000"/>
    </cacheField>
    <cacheField name="Valor Final" numFmtId="44">
      <sharedItems containsSemiMixedTypes="0" containsString="0" containsNumber="1" containsInteger="1" minValue="73500" maxValue="1900000000000000"/>
    </cacheField>
    <cacheField name="Forma pagmnt." numFmtId="0">
      <sharedItems count="3">
        <s v="Pix"/>
        <s v="Á Vista"/>
        <s v="Parcelado"/>
      </sharedItems>
    </cacheField>
    <cacheField name="Meses" numFmtId="0" databaseField="0">
      <fieldGroup base="0">
        <rangePr groupBy="months" startDate="2023-08-30T00:00:00" endDate="2023-10-03T00:00:00"/>
        <groupItems count="14">
          <s v="&lt;30/08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10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n v="66666667"/>
    <x v="0"/>
    <n v="12472918413"/>
    <x v="0"/>
    <x v="0"/>
    <x v="0"/>
    <x v="0"/>
    <x v="0"/>
    <n v="160000"/>
    <n v="152000"/>
    <x v="0"/>
  </r>
  <r>
    <x v="1"/>
    <n v="1287468"/>
    <x v="1"/>
    <n v="9182471"/>
    <x v="1"/>
    <x v="1"/>
    <x v="1"/>
    <x v="1"/>
    <x v="1"/>
    <n v="2000000000000000"/>
    <n v="1860000000000000"/>
    <x v="1"/>
  </r>
  <r>
    <x v="2"/>
    <n v="696969"/>
    <x v="2"/>
    <n v="126412846"/>
    <x v="2"/>
    <x v="2"/>
    <x v="2"/>
    <x v="2"/>
    <x v="2"/>
    <n v="85000"/>
    <n v="83300"/>
    <x v="1"/>
  </r>
  <r>
    <x v="3"/>
    <n v="69696969"/>
    <x v="3"/>
    <n v="44001295"/>
    <x v="3"/>
    <x v="3"/>
    <x v="3"/>
    <x v="3"/>
    <x v="2"/>
    <n v="170000"/>
    <n v="158100"/>
    <x v="1"/>
  </r>
  <r>
    <x v="4"/>
    <n v="135134"/>
    <x v="4"/>
    <n v="29184123947"/>
    <x v="3"/>
    <x v="4"/>
    <x v="2"/>
    <x v="4"/>
    <x v="3"/>
    <n v="85000"/>
    <n v="83300"/>
    <x v="1"/>
  </r>
  <r>
    <x v="5"/>
    <n v="124142"/>
    <x v="5"/>
    <n v="2497182472"/>
    <x v="3"/>
    <x v="5"/>
    <x v="4"/>
    <x v="5"/>
    <x v="4"/>
    <n v="2000000000000000"/>
    <n v="1900000000000000"/>
    <x v="2"/>
  </r>
  <r>
    <x v="6"/>
    <n v="12312"/>
    <x v="6"/>
    <n v="21424214423"/>
    <x v="3"/>
    <x v="6"/>
    <x v="5"/>
    <x v="6"/>
    <x v="0"/>
    <n v="130000"/>
    <n v="120900"/>
    <x v="1"/>
  </r>
  <r>
    <x v="7"/>
    <n v="1287468"/>
    <x v="1"/>
    <n v="9182471"/>
    <x v="1"/>
    <x v="7"/>
    <x v="6"/>
    <x v="7"/>
    <x v="4"/>
    <n v="75000"/>
    <n v="73500"/>
    <x v="1"/>
  </r>
  <r>
    <x v="0"/>
    <n v="69696969"/>
    <x v="3"/>
    <n v="44001295"/>
    <x v="3"/>
    <x v="8"/>
    <x v="7"/>
    <x v="8"/>
    <x v="1"/>
    <n v="200000000"/>
    <n v="186000000"/>
    <x v="1"/>
  </r>
  <r>
    <x v="8"/>
    <n v="135134"/>
    <x v="4"/>
    <n v="29184123947"/>
    <x v="3"/>
    <x v="9"/>
    <x v="8"/>
    <x v="9"/>
    <x v="3"/>
    <n v="90000"/>
    <n v="90000"/>
    <x v="2"/>
  </r>
  <r>
    <x v="9"/>
    <n v="123456"/>
    <x v="7"/>
    <n v="1284712134"/>
    <x v="2"/>
    <x v="10"/>
    <x v="3"/>
    <x v="10"/>
    <x v="2"/>
    <n v="170000"/>
    <n v="158100"/>
    <x v="1"/>
  </r>
  <r>
    <x v="10"/>
    <n v="1287468"/>
    <x v="1"/>
    <n v="9182471"/>
    <x v="1"/>
    <x v="1"/>
    <x v="1"/>
    <x v="1"/>
    <x v="1"/>
    <n v="2000000000000000"/>
    <n v="1860000000000000"/>
    <x v="1"/>
  </r>
  <r>
    <x v="11"/>
    <n v="696969"/>
    <x v="2"/>
    <n v="126412846"/>
    <x v="2"/>
    <x v="2"/>
    <x v="2"/>
    <x v="2"/>
    <x v="2"/>
    <n v="85000"/>
    <n v="83300"/>
    <x v="1"/>
  </r>
  <r>
    <x v="12"/>
    <n v="69696969"/>
    <x v="3"/>
    <n v="44001295"/>
    <x v="3"/>
    <x v="3"/>
    <x v="3"/>
    <x v="3"/>
    <x v="2"/>
    <n v="170000"/>
    <n v="158100"/>
    <x v="1"/>
  </r>
  <r>
    <x v="13"/>
    <n v="135134"/>
    <x v="4"/>
    <n v="29184123947"/>
    <x v="3"/>
    <x v="4"/>
    <x v="2"/>
    <x v="4"/>
    <x v="3"/>
    <n v="85000"/>
    <n v="83300"/>
    <x v="1"/>
  </r>
  <r>
    <x v="14"/>
    <n v="124142"/>
    <x v="5"/>
    <n v="2497182472"/>
    <x v="3"/>
    <x v="5"/>
    <x v="4"/>
    <x v="5"/>
    <x v="4"/>
    <n v="2000000000000000"/>
    <n v="1900000000000000"/>
    <x v="2"/>
  </r>
  <r>
    <x v="15"/>
    <n v="12312"/>
    <x v="6"/>
    <n v="21424214423"/>
    <x v="3"/>
    <x v="6"/>
    <x v="5"/>
    <x v="6"/>
    <x v="0"/>
    <n v="130000"/>
    <n v="120900"/>
    <x v="1"/>
  </r>
  <r>
    <x v="16"/>
    <n v="1287468"/>
    <x v="1"/>
    <n v="9182471"/>
    <x v="1"/>
    <x v="7"/>
    <x v="6"/>
    <x v="7"/>
    <x v="4"/>
    <n v="75000"/>
    <n v="73500"/>
    <x v="1"/>
  </r>
  <r>
    <x v="17"/>
    <n v="69696969"/>
    <x v="3"/>
    <n v="44001295"/>
    <x v="3"/>
    <x v="8"/>
    <x v="7"/>
    <x v="8"/>
    <x v="1"/>
    <n v="200000000"/>
    <n v="186000000"/>
    <x v="1"/>
  </r>
  <r>
    <x v="18"/>
    <n v="135134"/>
    <x v="4"/>
    <n v="29184123947"/>
    <x v="3"/>
    <x v="9"/>
    <x v="8"/>
    <x v="9"/>
    <x v="3"/>
    <n v="90000"/>
    <n v="90000"/>
    <x v="2"/>
  </r>
  <r>
    <x v="19"/>
    <n v="123456"/>
    <x v="7"/>
    <n v="1284712134"/>
    <x v="2"/>
    <x v="10"/>
    <x v="3"/>
    <x v="10"/>
    <x v="2"/>
    <n v="170000"/>
    <n v="158100"/>
    <x v="1"/>
  </r>
  <r>
    <x v="20"/>
    <n v="1287468"/>
    <x v="1"/>
    <n v="9182471"/>
    <x v="1"/>
    <x v="1"/>
    <x v="1"/>
    <x v="1"/>
    <x v="1"/>
    <n v="2000000000000000"/>
    <n v="1860000000000000"/>
    <x v="1"/>
  </r>
  <r>
    <x v="21"/>
    <n v="696969"/>
    <x v="2"/>
    <n v="126412846"/>
    <x v="2"/>
    <x v="2"/>
    <x v="2"/>
    <x v="2"/>
    <x v="2"/>
    <n v="85000"/>
    <n v="83300"/>
    <x v="0"/>
  </r>
  <r>
    <x v="22"/>
    <n v="69696969"/>
    <x v="3"/>
    <n v="44001295"/>
    <x v="3"/>
    <x v="3"/>
    <x v="3"/>
    <x v="3"/>
    <x v="2"/>
    <n v="170000"/>
    <n v="158100"/>
    <x v="1"/>
  </r>
  <r>
    <x v="23"/>
    <n v="135134"/>
    <x v="4"/>
    <n v="29184123947"/>
    <x v="3"/>
    <x v="4"/>
    <x v="2"/>
    <x v="4"/>
    <x v="3"/>
    <n v="85000"/>
    <n v="83300"/>
    <x v="1"/>
  </r>
  <r>
    <x v="24"/>
    <n v="124142"/>
    <x v="5"/>
    <n v="2497182472"/>
    <x v="3"/>
    <x v="5"/>
    <x v="4"/>
    <x v="5"/>
    <x v="4"/>
    <n v="2000000000000000"/>
    <n v="1900000000000000"/>
    <x v="2"/>
  </r>
  <r>
    <x v="25"/>
    <n v="12312"/>
    <x v="6"/>
    <n v="21424214423"/>
    <x v="3"/>
    <x v="6"/>
    <x v="5"/>
    <x v="6"/>
    <x v="0"/>
    <n v="130000"/>
    <n v="120900"/>
    <x v="1"/>
  </r>
  <r>
    <x v="26"/>
    <n v="1287468"/>
    <x v="1"/>
    <n v="9182471"/>
    <x v="1"/>
    <x v="7"/>
    <x v="6"/>
    <x v="7"/>
    <x v="4"/>
    <n v="75000"/>
    <n v="73500"/>
    <x v="1"/>
  </r>
  <r>
    <x v="27"/>
    <n v="69696969"/>
    <x v="3"/>
    <n v="44001295"/>
    <x v="3"/>
    <x v="8"/>
    <x v="7"/>
    <x v="8"/>
    <x v="1"/>
    <n v="200000000"/>
    <n v="186000000"/>
    <x v="1"/>
  </r>
  <r>
    <x v="27"/>
    <n v="135134"/>
    <x v="4"/>
    <n v="29184123947"/>
    <x v="3"/>
    <x v="9"/>
    <x v="8"/>
    <x v="9"/>
    <x v="3"/>
    <n v="90000"/>
    <n v="90000"/>
    <x v="2"/>
  </r>
  <r>
    <x v="27"/>
    <n v="123456"/>
    <x v="7"/>
    <n v="1284712134"/>
    <x v="2"/>
    <x v="10"/>
    <x v="3"/>
    <x v="10"/>
    <x v="2"/>
    <n v="170000"/>
    <n v="158100"/>
    <x v="1"/>
  </r>
  <r>
    <x v="1"/>
    <n v="1287468"/>
    <x v="1"/>
    <n v="9182471"/>
    <x v="1"/>
    <x v="1"/>
    <x v="1"/>
    <x v="1"/>
    <x v="1"/>
    <n v="2000000000000000"/>
    <n v="1860000000000000"/>
    <x v="1"/>
  </r>
  <r>
    <x v="1"/>
    <n v="696969"/>
    <x v="2"/>
    <n v="126412846"/>
    <x v="2"/>
    <x v="2"/>
    <x v="2"/>
    <x v="2"/>
    <x v="2"/>
    <n v="85000"/>
    <n v="83300"/>
    <x v="1"/>
  </r>
  <r>
    <x v="1"/>
    <n v="69696969"/>
    <x v="3"/>
    <n v="44001295"/>
    <x v="3"/>
    <x v="3"/>
    <x v="3"/>
    <x v="3"/>
    <x v="2"/>
    <n v="170000"/>
    <n v="158100"/>
    <x v="1"/>
  </r>
  <r>
    <x v="1"/>
    <n v="135134"/>
    <x v="4"/>
    <n v="29184123947"/>
    <x v="3"/>
    <x v="4"/>
    <x v="2"/>
    <x v="4"/>
    <x v="3"/>
    <n v="85000"/>
    <n v="83300"/>
    <x v="1"/>
  </r>
  <r>
    <x v="27"/>
    <n v="124142"/>
    <x v="5"/>
    <n v="2497182472"/>
    <x v="3"/>
    <x v="5"/>
    <x v="4"/>
    <x v="5"/>
    <x v="4"/>
    <n v="2000000000000000"/>
    <n v="1900000000000000"/>
    <x v="2"/>
  </r>
  <r>
    <x v="27"/>
    <n v="12312"/>
    <x v="6"/>
    <n v="21424214423"/>
    <x v="3"/>
    <x v="6"/>
    <x v="5"/>
    <x v="6"/>
    <x v="0"/>
    <n v="130000"/>
    <n v="120900"/>
    <x v="1"/>
  </r>
  <r>
    <x v="27"/>
    <n v="1287468"/>
    <x v="1"/>
    <n v="9182471"/>
    <x v="1"/>
    <x v="7"/>
    <x v="6"/>
    <x v="7"/>
    <x v="4"/>
    <n v="75000"/>
    <n v="73500"/>
    <x v="1"/>
  </r>
  <r>
    <x v="27"/>
    <n v="69696969"/>
    <x v="3"/>
    <n v="44001295"/>
    <x v="3"/>
    <x v="8"/>
    <x v="7"/>
    <x v="8"/>
    <x v="1"/>
    <n v="200000000"/>
    <n v="186000000"/>
    <x v="1"/>
  </r>
  <r>
    <x v="27"/>
    <n v="135134"/>
    <x v="4"/>
    <n v="29184123947"/>
    <x v="3"/>
    <x v="9"/>
    <x v="8"/>
    <x v="9"/>
    <x v="3"/>
    <n v="90000"/>
    <n v="90000"/>
    <x v="2"/>
  </r>
  <r>
    <x v="27"/>
    <n v="123456"/>
    <x v="7"/>
    <n v="1284712134"/>
    <x v="2"/>
    <x v="10"/>
    <x v="3"/>
    <x v="10"/>
    <x v="2"/>
    <n v="170000"/>
    <n v="158100"/>
    <x v="1"/>
  </r>
  <r>
    <x v="1"/>
    <n v="1287468"/>
    <x v="1"/>
    <n v="9182471"/>
    <x v="1"/>
    <x v="1"/>
    <x v="1"/>
    <x v="1"/>
    <x v="1"/>
    <n v="2000000000000000"/>
    <n v="1860000000000000"/>
    <x v="1"/>
  </r>
  <r>
    <x v="1"/>
    <n v="696969"/>
    <x v="2"/>
    <n v="126412846"/>
    <x v="2"/>
    <x v="2"/>
    <x v="2"/>
    <x v="2"/>
    <x v="2"/>
    <n v="85000"/>
    <n v="83300"/>
    <x v="1"/>
  </r>
  <r>
    <x v="1"/>
    <n v="69696969"/>
    <x v="3"/>
    <n v="44001295"/>
    <x v="3"/>
    <x v="3"/>
    <x v="3"/>
    <x v="3"/>
    <x v="2"/>
    <n v="170000"/>
    <n v="158100"/>
    <x v="1"/>
  </r>
  <r>
    <x v="1"/>
    <n v="135134"/>
    <x v="4"/>
    <n v="29184123947"/>
    <x v="3"/>
    <x v="4"/>
    <x v="2"/>
    <x v="4"/>
    <x v="3"/>
    <n v="85000"/>
    <n v="83300"/>
    <x v="1"/>
  </r>
  <r>
    <x v="27"/>
    <n v="124142"/>
    <x v="5"/>
    <n v="2497182472"/>
    <x v="3"/>
    <x v="5"/>
    <x v="4"/>
    <x v="5"/>
    <x v="4"/>
    <n v="2000000000000000"/>
    <n v="1900000000000000"/>
    <x v="2"/>
  </r>
  <r>
    <x v="27"/>
    <n v="12312"/>
    <x v="6"/>
    <n v="21424214423"/>
    <x v="3"/>
    <x v="6"/>
    <x v="5"/>
    <x v="6"/>
    <x v="0"/>
    <n v="130000"/>
    <n v="120900"/>
    <x v="1"/>
  </r>
  <r>
    <x v="27"/>
    <n v="1287468"/>
    <x v="1"/>
    <n v="9182471"/>
    <x v="1"/>
    <x v="7"/>
    <x v="6"/>
    <x v="7"/>
    <x v="4"/>
    <n v="75000"/>
    <n v="73500"/>
    <x v="0"/>
  </r>
  <r>
    <x v="27"/>
    <n v="69696969"/>
    <x v="3"/>
    <n v="44001295"/>
    <x v="3"/>
    <x v="8"/>
    <x v="7"/>
    <x v="8"/>
    <x v="1"/>
    <n v="200000000"/>
    <n v="186000000"/>
    <x v="1"/>
  </r>
  <r>
    <x v="27"/>
    <n v="135134"/>
    <x v="4"/>
    <n v="29184123947"/>
    <x v="3"/>
    <x v="9"/>
    <x v="8"/>
    <x v="9"/>
    <x v="3"/>
    <n v="90000"/>
    <n v="90000"/>
    <x v="2"/>
  </r>
  <r>
    <x v="27"/>
    <n v="123456"/>
    <x v="7"/>
    <n v="1284712134"/>
    <x v="2"/>
    <x v="10"/>
    <x v="3"/>
    <x v="10"/>
    <x v="2"/>
    <n v="170000"/>
    <n v="158100"/>
    <x v="1"/>
  </r>
  <r>
    <x v="1"/>
    <n v="1287468"/>
    <x v="1"/>
    <n v="9182471"/>
    <x v="1"/>
    <x v="1"/>
    <x v="1"/>
    <x v="1"/>
    <x v="1"/>
    <n v="2000000000000000"/>
    <n v="1860000000000000"/>
    <x v="1"/>
  </r>
  <r>
    <x v="1"/>
    <n v="696969"/>
    <x v="2"/>
    <n v="126412846"/>
    <x v="2"/>
    <x v="2"/>
    <x v="2"/>
    <x v="2"/>
    <x v="2"/>
    <n v="85000"/>
    <n v="83300"/>
    <x v="1"/>
  </r>
  <r>
    <x v="1"/>
    <n v="69696969"/>
    <x v="3"/>
    <n v="44001295"/>
    <x v="3"/>
    <x v="3"/>
    <x v="3"/>
    <x v="3"/>
    <x v="2"/>
    <n v="170000"/>
    <n v="158100"/>
    <x v="1"/>
  </r>
  <r>
    <x v="1"/>
    <n v="135134"/>
    <x v="4"/>
    <n v="29184123947"/>
    <x v="3"/>
    <x v="4"/>
    <x v="2"/>
    <x v="4"/>
    <x v="3"/>
    <n v="85000"/>
    <n v="83300"/>
    <x v="1"/>
  </r>
  <r>
    <x v="27"/>
    <n v="124142"/>
    <x v="5"/>
    <n v="2497182472"/>
    <x v="3"/>
    <x v="5"/>
    <x v="4"/>
    <x v="5"/>
    <x v="4"/>
    <n v="2000000000000000"/>
    <n v="1900000000000000"/>
    <x v="2"/>
  </r>
  <r>
    <x v="27"/>
    <n v="12312"/>
    <x v="6"/>
    <n v="21424214423"/>
    <x v="3"/>
    <x v="6"/>
    <x v="5"/>
    <x v="6"/>
    <x v="0"/>
    <n v="130000"/>
    <n v="120900"/>
    <x v="1"/>
  </r>
  <r>
    <x v="27"/>
    <n v="1287468"/>
    <x v="1"/>
    <n v="9182471"/>
    <x v="1"/>
    <x v="7"/>
    <x v="6"/>
    <x v="7"/>
    <x v="4"/>
    <n v="75000"/>
    <n v="73500"/>
    <x v="1"/>
  </r>
  <r>
    <x v="27"/>
    <n v="69696969"/>
    <x v="3"/>
    <n v="44001295"/>
    <x v="3"/>
    <x v="8"/>
    <x v="7"/>
    <x v="8"/>
    <x v="1"/>
    <n v="200000000"/>
    <n v="186000000"/>
    <x v="1"/>
  </r>
  <r>
    <x v="27"/>
    <n v="135134"/>
    <x v="4"/>
    <n v="29184123947"/>
    <x v="3"/>
    <x v="9"/>
    <x v="8"/>
    <x v="9"/>
    <x v="3"/>
    <n v="90000"/>
    <n v="90000"/>
    <x v="2"/>
  </r>
  <r>
    <x v="27"/>
    <n v="123456"/>
    <x v="7"/>
    <n v="1284712134"/>
    <x v="2"/>
    <x v="10"/>
    <x v="3"/>
    <x v="10"/>
    <x v="2"/>
    <n v="170000"/>
    <n v="158100"/>
    <x v="1"/>
  </r>
  <r>
    <x v="1"/>
    <n v="1287468"/>
    <x v="1"/>
    <n v="9182471"/>
    <x v="1"/>
    <x v="1"/>
    <x v="1"/>
    <x v="1"/>
    <x v="1"/>
    <n v="2000000000000000"/>
    <n v="1860000000000000"/>
    <x v="1"/>
  </r>
  <r>
    <x v="1"/>
    <n v="696969"/>
    <x v="2"/>
    <n v="126412846"/>
    <x v="2"/>
    <x v="2"/>
    <x v="2"/>
    <x v="2"/>
    <x v="2"/>
    <n v="85000"/>
    <n v="83300"/>
    <x v="1"/>
  </r>
  <r>
    <x v="1"/>
    <n v="69696969"/>
    <x v="3"/>
    <n v="44001295"/>
    <x v="3"/>
    <x v="3"/>
    <x v="3"/>
    <x v="3"/>
    <x v="2"/>
    <n v="170000"/>
    <n v="158100"/>
    <x v="0"/>
  </r>
  <r>
    <x v="1"/>
    <n v="135134"/>
    <x v="4"/>
    <n v="29184123947"/>
    <x v="3"/>
    <x v="4"/>
    <x v="2"/>
    <x v="4"/>
    <x v="3"/>
    <n v="85000"/>
    <n v="83300"/>
    <x v="1"/>
  </r>
  <r>
    <x v="27"/>
    <n v="124142"/>
    <x v="5"/>
    <n v="2497182472"/>
    <x v="3"/>
    <x v="5"/>
    <x v="4"/>
    <x v="5"/>
    <x v="4"/>
    <n v="2000000000000000"/>
    <n v="1900000000000000"/>
    <x v="2"/>
  </r>
  <r>
    <x v="27"/>
    <n v="12312"/>
    <x v="6"/>
    <n v="21424214423"/>
    <x v="3"/>
    <x v="6"/>
    <x v="5"/>
    <x v="6"/>
    <x v="0"/>
    <n v="130000"/>
    <n v="120900"/>
    <x v="1"/>
  </r>
  <r>
    <x v="27"/>
    <n v="1287468"/>
    <x v="1"/>
    <n v="9182471"/>
    <x v="1"/>
    <x v="7"/>
    <x v="6"/>
    <x v="7"/>
    <x v="4"/>
    <n v="75000"/>
    <n v="73500"/>
    <x v="1"/>
  </r>
  <r>
    <x v="27"/>
    <n v="69696969"/>
    <x v="3"/>
    <n v="44001295"/>
    <x v="3"/>
    <x v="8"/>
    <x v="7"/>
    <x v="8"/>
    <x v="1"/>
    <n v="200000000"/>
    <n v="186000000"/>
    <x v="1"/>
  </r>
  <r>
    <x v="28"/>
    <n v="135134"/>
    <x v="4"/>
    <n v="29184123947"/>
    <x v="3"/>
    <x v="9"/>
    <x v="8"/>
    <x v="9"/>
    <x v="3"/>
    <n v="90000"/>
    <n v="90000"/>
    <x v="2"/>
  </r>
  <r>
    <x v="29"/>
    <n v="123456"/>
    <x v="7"/>
    <n v="1284712134"/>
    <x v="2"/>
    <x v="10"/>
    <x v="3"/>
    <x v="10"/>
    <x v="2"/>
    <n v="170000"/>
    <n v="158100"/>
    <x v="1"/>
  </r>
  <r>
    <x v="30"/>
    <n v="1287468"/>
    <x v="1"/>
    <n v="9182471"/>
    <x v="1"/>
    <x v="1"/>
    <x v="1"/>
    <x v="1"/>
    <x v="1"/>
    <n v="2000000000000000"/>
    <n v="1860000000000000"/>
    <x v="1"/>
  </r>
  <r>
    <x v="31"/>
    <n v="696969"/>
    <x v="2"/>
    <n v="126412846"/>
    <x v="2"/>
    <x v="2"/>
    <x v="2"/>
    <x v="2"/>
    <x v="2"/>
    <n v="85000"/>
    <n v="83300"/>
    <x v="1"/>
  </r>
  <r>
    <x v="32"/>
    <n v="69696969"/>
    <x v="3"/>
    <n v="44001295"/>
    <x v="3"/>
    <x v="3"/>
    <x v="3"/>
    <x v="3"/>
    <x v="2"/>
    <n v="170000"/>
    <n v="158100"/>
    <x v="1"/>
  </r>
  <r>
    <x v="33"/>
    <n v="135134"/>
    <x v="4"/>
    <n v="29184123947"/>
    <x v="3"/>
    <x v="4"/>
    <x v="2"/>
    <x v="4"/>
    <x v="3"/>
    <n v="85000"/>
    <n v="83300"/>
    <x v="1"/>
  </r>
  <r>
    <x v="1"/>
    <n v="124142"/>
    <x v="5"/>
    <n v="2497182472"/>
    <x v="3"/>
    <x v="5"/>
    <x v="4"/>
    <x v="5"/>
    <x v="4"/>
    <n v="2000000000000000"/>
    <n v="1900000000000000"/>
    <x v="2"/>
  </r>
  <r>
    <x v="2"/>
    <n v="12312"/>
    <x v="6"/>
    <n v="21424214423"/>
    <x v="3"/>
    <x v="6"/>
    <x v="5"/>
    <x v="6"/>
    <x v="0"/>
    <n v="130000"/>
    <n v="120900"/>
    <x v="1"/>
  </r>
  <r>
    <x v="3"/>
    <n v="1287468"/>
    <x v="1"/>
    <n v="9182471"/>
    <x v="1"/>
    <x v="7"/>
    <x v="6"/>
    <x v="7"/>
    <x v="4"/>
    <n v="75000"/>
    <n v="73500"/>
    <x v="1"/>
  </r>
  <r>
    <x v="4"/>
    <n v="69696969"/>
    <x v="3"/>
    <n v="44001295"/>
    <x v="3"/>
    <x v="8"/>
    <x v="7"/>
    <x v="8"/>
    <x v="1"/>
    <n v="200000000"/>
    <n v="186000000"/>
    <x v="1"/>
  </r>
  <r>
    <x v="5"/>
    <n v="135134"/>
    <x v="4"/>
    <n v="29184123947"/>
    <x v="3"/>
    <x v="9"/>
    <x v="8"/>
    <x v="9"/>
    <x v="3"/>
    <n v="90000"/>
    <n v="90000"/>
    <x v="2"/>
  </r>
  <r>
    <x v="6"/>
    <n v="123456"/>
    <x v="7"/>
    <n v="1284712134"/>
    <x v="2"/>
    <x v="10"/>
    <x v="3"/>
    <x v="10"/>
    <x v="2"/>
    <n v="170000"/>
    <n v="158100"/>
    <x v="1"/>
  </r>
  <r>
    <x v="7"/>
    <n v="1287468"/>
    <x v="1"/>
    <n v="9182471"/>
    <x v="1"/>
    <x v="1"/>
    <x v="1"/>
    <x v="1"/>
    <x v="1"/>
    <n v="2000000000000000"/>
    <n v="1860000000000000"/>
    <x v="1"/>
  </r>
  <r>
    <x v="0"/>
    <n v="696969"/>
    <x v="2"/>
    <n v="126412846"/>
    <x v="2"/>
    <x v="2"/>
    <x v="2"/>
    <x v="2"/>
    <x v="2"/>
    <n v="85000"/>
    <n v="83300"/>
    <x v="1"/>
  </r>
  <r>
    <x v="8"/>
    <n v="69696969"/>
    <x v="3"/>
    <n v="44001295"/>
    <x v="3"/>
    <x v="3"/>
    <x v="3"/>
    <x v="3"/>
    <x v="2"/>
    <n v="170000"/>
    <n v="158100"/>
    <x v="1"/>
  </r>
  <r>
    <x v="9"/>
    <n v="135134"/>
    <x v="4"/>
    <n v="29184123947"/>
    <x v="3"/>
    <x v="4"/>
    <x v="2"/>
    <x v="4"/>
    <x v="3"/>
    <n v="85000"/>
    <n v="83300"/>
    <x v="0"/>
  </r>
  <r>
    <x v="10"/>
    <n v="124142"/>
    <x v="5"/>
    <n v="2497182472"/>
    <x v="3"/>
    <x v="5"/>
    <x v="4"/>
    <x v="5"/>
    <x v="4"/>
    <n v="2000000000000000"/>
    <n v="1900000000000000"/>
    <x v="2"/>
  </r>
  <r>
    <x v="11"/>
    <n v="12312"/>
    <x v="6"/>
    <n v="21424214423"/>
    <x v="3"/>
    <x v="6"/>
    <x v="5"/>
    <x v="6"/>
    <x v="0"/>
    <n v="130000"/>
    <n v="120900"/>
    <x v="1"/>
  </r>
  <r>
    <x v="12"/>
    <n v="1287468"/>
    <x v="1"/>
    <n v="9182471"/>
    <x v="1"/>
    <x v="7"/>
    <x v="6"/>
    <x v="7"/>
    <x v="4"/>
    <n v="75000"/>
    <n v="73500"/>
    <x v="1"/>
  </r>
  <r>
    <x v="13"/>
    <n v="69696969"/>
    <x v="3"/>
    <n v="44001295"/>
    <x v="3"/>
    <x v="8"/>
    <x v="7"/>
    <x v="8"/>
    <x v="1"/>
    <n v="200000000"/>
    <n v="186000000"/>
    <x v="1"/>
  </r>
  <r>
    <x v="14"/>
    <n v="135134"/>
    <x v="4"/>
    <n v="29184123947"/>
    <x v="3"/>
    <x v="9"/>
    <x v="8"/>
    <x v="9"/>
    <x v="3"/>
    <n v="90000"/>
    <n v="90000"/>
    <x v="2"/>
  </r>
  <r>
    <x v="15"/>
    <n v="123456"/>
    <x v="7"/>
    <n v="1284712134"/>
    <x v="2"/>
    <x v="10"/>
    <x v="3"/>
    <x v="10"/>
    <x v="2"/>
    <n v="170000"/>
    <n v="158100"/>
    <x v="1"/>
  </r>
  <r>
    <x v="16"/>
    <n v="1287468"/>
    <x v="1"/>
    <n v="9182471"/>
    <x v="1"/>
    <x v="1"/>
    <x v="1"/>
    <x v="1"/>
    <x v="1"/>
    <n v="2000000000000000"/>
    <n v="1860000000000000"/>
    <x v="1"/>
  </r>
  <r>
    <x v="17"/>
    <n v="696969"/>
    <x v="2"/>
    <n v="126412846"/>
    <x v="2"/>
    <x v="2"/>
    <x v="2"/>
    <x v="2"/>
    <x v="2"/>
    <n v="85000"/>
    <n v="83300"/>
    <x v="1"/>
  </r>
  <r>
    <x v="18"/>
    <n v="69696969"/>
    <x v="3"/>
    <n v="44001295"/>
    <x v="3"/>
    <x v="3"/>
    <x v="3"/>
    <x v="3"/>
    <x v="2"/>
    <n v="170000"/>
    <n v="158100"/>
    <x v="1"/>
  </r>
  <r>
    <x v="19"/>
    <n v="135134"/>
    <x v="4"/>
    <n v="29184123947"/>
    <x v="3"/>
    <x v="4"/>
    <x v="2"/>
    <x v="4"/>
    <x v="3"/>
    <n v="85000"/>
    <n v="83300"/>
    <x v="1"/>
  </r>
  <r>
    <x v="20"/>
    <n v="124142"/>
    <x v="5"/>
    <n v="2497182472"/>
    <x v="3"/>
    <x v="5"/>
    <x v="4"/>
    <x v="5"/>
    <x v="4"/>
    <n v="2000000000000000"/>
    <n v="1900000000000000"/>
    <x v="2"/>
  </r>
  <r>
    <x v="21"/>
    <n v="12312"/>
    <x v="6"/>
    <n v="21424214423"/>
    <x v="3"/>
    <x v="6"/>
    <x v="5"/>
    <x v="6"/>
    <x v="0"/>
    <n v="130000"/>
    <n v="120900"/>
    <x v="1"/>
  </r>
  <r>
    <x v="22"/>
    <n v="1287468"/>
    <x v="1"/>
    <n v="9182471"/>
    <x v="1"/>
    <x v="7"/>
    <x v="6"/>
    <x v="7"/>
    <x v="4"/>
    <n v="75000"/>
    <n v="73500"/>
    <x v="1"/>
  </r>
  <r>
    <x v="23"/>
    <n v="69696969"/>
    <x v="3"/>
    <n v="44001295"/>
    <x v="3"/>
    <x v="8"/>
    <x v="7"/>
    <x v="8"/>
    <x v="1"/>
    <n v="200000000"/>
    <n v="186000000"/>
    <x v="0"/>
  </r>
  <r>
    <x v="24"/>
    <n v="135134"/>
    <x v="4"/>
    <n v="29184123947"/>
    <x v="3"/>
    <x v="9"/>
    <x v="8"/>
    <x v="9"/>
    <x v="3"/>
    <n v="90000"/>
    <n v="90000"/>
    <x v="2"/>
  </r>
  <r>
    <x v="25"/>
    <n v="123456"/>
    <x v="7"/>
    <n v="1284712134"/>
    <x v="2"/>
    <x v="10"/>
    <x v="3"/>
    <x v="10"/>
    <x v="2"/>
    <n v="170000"/>
    <n v="1581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968F1A-11AB-4A16-9855-6602F41FA0C0}" name="Tabela dinâmica1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3" firstHeaderRow="1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showAll="0"/>
    <pivotField numFmtId="44" showAll="0"/>
    <pivotField dataField="1" numFmtId="4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x="10"/>
        <item sd="0" x="11"/>
        <item sd="0" x="12"/>
        <item sd="0" x="13"/>
        <item t="default"/>
      </items>
    </pivotField>
  </pivotFields>
  <rowFields count="3">
    <field x="12"/>
    <field x="6"/>
    <field x="7"/>
  </rowFields>
  <rowItems count="10">
    <i>
      <x v="8"/>
    </i>
    <i>
      <x v="9"/>
    </i>
    <i>
      <x v="10"/>
    </i>
    <i r="1">
      <x v="1"/>
    </i>
    <i r="2">
      <x v="8"/>
    </i>
    <i r="1">
      <x v="3"/>
    </i>
    <i r="2">
      <x v="2"/>
    </i>
    <i r="1">
      <x v="6"/>
    </i>
    <i r="2">
      <x v="3"/>
    </i>
    <i t="grand">
      <x/>
    </i>
  </rowItems>
  <colItems count="1">
    <i/>
  </colItems>
  <dataFields count="1">
    <dataField name="Soma de Valor Final" fld="10" baseField="0" baseItem="0"/>
  </dataFields>
  <formats count="1">
    <format dxfId="0">
      <pivotArea collapsedLevelsAreSubtotals="1" fieldPosition="0">
        <references count="1">
          <reference field="12" count="1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76D5A-636E-49E1-9F95-87F2FE15FF48}" name="Tabela dinâmica2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30" firstHeaderRow="1" firstDataRow="1" firstDataCol="1"/>
  <pivotFields count="13">
    <pivotField numFmtId="14" showAll="0"/>
    <pivotField showAll="0"/>
    <pivotField showAll="0"/>
    <pivotField showAll="0"/>
    <pivotField showAll="0"/>
    <pivotField showAll="0"/>
    <pivotField axis="axisRow" showAll="0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axis="axisRow" showAll="0">
      <items count="6">
        <item x="0"/>
        <item x="3"/>
        <item x="1"/>
        <item x="2"/>
        <item x="4"/>
        <item t="default"/>
      </items>
    </pivotField>
    <pivotField numFmtId="44" showAll="0"/>
    <pivotField dataField="1" numFmtId="44" showAll="0"/>
    <pivotField showAll="0"/>
    <pivotField showAll="0" defaultSubtotal="0"/>
  </pivotFields>
  <rowFields count="3">
    <field x="8"/>
    <field x="6"/>
    <field x="7"/>
  </rowFields>
  <rowItems count="27">
    <i>
      <x/>
    </i>
    <i r="1">
      <x v="6"/>
    </i>
    <i r="2">
      <x v="3"/>
    </i>
    <i r="1">
      <x v="8"/>
    </i>
    <i r="2">
      <x v="10"/>
    </i>
    <i>
      <x v="1"/>
    </i>
    <i r="1">
      <x/>
    </i>
    <i r="2">
      <x v="1"/>
    </i>
    <i r="1">
      <x v="2"/>
    </i>
    <i r="2">
      <x v="7"/>
    </i>
    <i>
      <x v="2"/>
    </i>
    <i r="1">
      <x v="4"/>
    </i>
    <i r="2">
      <x v="6"/>
    </i>
    <i r="1">
      <x v="5"/>
    </i>
    <i r="2">
      <x/>
    </i>
    <i>
      <x v="3"/>
    </i>
    <i r="1">
      <x/>
    </i>
    <i r="2">
      <x v="9"/>
    </i>
    <i r="1">
      <x v="1"/>
    </i>
    <i r="2">
      <x v="5"/>
    </i>
    <i r="2">
      <x v="8"/>
    </i>
    <i>
      <x v="4"/>
    </i>
    <i r="1">
      <x v="3"/>
    </i>
    <i r="2">
      <x v="2"/>
    </i>
    <i r="1">
      <x v="7"/>
    </i>
    <i r="2">
      <x v="4"/>
    </i>
    <i t="grand">
      <x/>
    </i>
  </rowItems>
  <colItems count="1">
    <i/>
  </colItems>
  <dataFields count="1">
    <dataField name="Soma de Valor Fin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AC2AB-A7A5-421D-A811-BEC36A0581E0}" name="Tabela dinâmica3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35" firstHeaderRow="1" firstDataRow="1" firstDataCol="1"/>
  <pivotFields count="13">
    <pivotField numFmtId="14" showAll="0"/>
    <pivotField showAll="0"/>
    <pivotField showAll="0"/>
    <pivotField showAll="0"/>
    <pivotField showAll="0"/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axis="axisRow" showAll="0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showAll="0"/>
    <pivotField numFmtId="44" showAll="0"/>
    <pivotField dataField="1" numFmtId="44" showAll="0"/>
    <pivotField showAll="0"/>
    <pivotField showAll="0" defaultSubtotal="0"/>
  </pivotFields>
  <rowFields count="3">
    <field x="6"/>
    <field x="7"/>
    <field x="5"/>
  </rowFields>
  <rowItems count="32">
    <i>
      <x/>
    </i>
    <i r="1">
      <x v="1"/>
    </i>
    <i r="2">
      <x v="1"/>
    </i>
    <i r="1">
      <x v="9"/>
    </i>
    <i r="2">
      <x v="9"/>
    </i>
    <i>
      <x v="1"/>
    </i>
    <i r="1">
      <x v="5"/>
    </i>
    <i r="2">
      <x v="5"/>
    </i>
    <i r="1">
      <x v="8"/>
    </i>
    <i r="2">
      <x v="8"/>
    </i>
    <i>
      <x v="2"/>
    </i>
    <i r="1">
      <x v="7"/>
    </i>
    <i r="2">
      <x v="7"/>
    </i>
    <i>
      <x v="3"/>
    </i>
    <i r="1">
      <x v="2"/>
    </i>
    <i r="2">
      <x v="2"/>
    </i>
    <i>
      <x v="4"/>
    </i>
    <i r="1">
      <x v="6"/>
    </i>
    <i r="2">
      <x v="6"/>
    </i>
    <i>
      <x v="5"/>
    </i>
    <i r="1">
      <x/>
    </i>
    <i r="2">
      <x/>
    </i>
    <i>
      <x v="6"/>
    </i>
    <i r="1">
      <x v="3"/>
    </i>
    <i r="2">
      <x v="3"/>
    </i>
    <i>
      <x v="7"/>
    </i>
    <i r="1">
      <x v="4"/>
    </i>
    <i r="2">
      <x v="4"/>
    </i>
    <i>
      <x v="8"/>
    </i>
    <i r="1">
      <x v="10"/>
    </i>
    <i r="2">
      <x v="10"/>
    </i>
    <i t="grand">
      <x/>
    </i>
  </rowItems>
  <colItems count="1">
    <i/>
  </colItems>
  <dataFields count="1">
    <dataField name="Soma de Valor Final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A682E-EC19-4DF2-9CEC-57398FB54201}" name="Tabela dinâmica4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31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showAll="0"/>
    <pivotField showAll="0"/>
    <pivotField numFmtId="44" showAll="0"/>
    <pivotField dataField="1" numFmtId="44"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3">
    <field x="6"/>
    <field x="12"/>
    <field x="0"/>
  </rowFields>
  <rowItems count="28">
    <i>
      <x/>
    </i>
    <i r="1">
      <x v="9"/>
    </i>
    <i>
      <x v="1"/>
    </i>
    <i r="1">
      <x v="8"/>
    </i>
    <i r="1">
      <x v="9"/>
    </i>
    <i r="1">
      <x v="10"/>
    </i>
    <i>
      <x v="2"/>
    </i>
    <i r="1">
      <x v="8"/>
    </i>
    <i r="1">
      <x v="9"/>
    </i>
    <i>
      <x v="3"/>
    </i>
    <i r="1">
      <x v="8"/>
    </i>
    <i r="1">
      <x v="9"/>
    </i>
    <i r="1">
      <x v="10"/>
    </i>
    <i>
      <x v="4"/>
    </i>
    <i r="1">
      <x v="9"/>
    </i>
    <i>
      <x v="5"/>
    </i>
    <i r="1">
      <x v="8"/>
    </i>
    <i r="1">
      <x v="9"/>
    </i>
    <i>
      <x v="6"/>
    </i>
    <i r="1">
      <x v="8"/>
    </i>
    <i r="1">
      <x v="9"/>
    </i>
    <i r="1">
      <x v="10"/>
    </i>
    <i>
      <x v="7"/>
    </i>
    <i r="1">
      <x v="8"/>
    </i>
    <i r="1">
      <x v="9"/>
    </i>
    <i>
      <x v="8"/>
    </i>
    <i r="1">
      <x v="9"/>
    </i>
    <i t="grand">
      <x/>
    </i>
  </rowItems>
  <colItems count="1">
    <i/>
  </colItems>
  <dataFields count="1">
    <dataField name="Soma de Valor Final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06AFB-F78F-4B2E-9FA8-A28C87763BFA}" name="Tabela dinâmica6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23" firstHeaderRow="1" firstDataRow="1" firstDataCol="1"/>
  <pivotFields count="13">
    <pivotField numFmtId="14" showAll="0"/>
    <pivotField showAll="0"/>
    <pivotField axis="axisRow" showAll="0" countASubtotal="1">
      <items count="9">
        <item x="7"/>
        <item x="3"/>
        <item x="4"/>
        <item x="6"/>
        <item x="1"/>
        <item x="5"/>
        <item x="2"/>
        <item x="0"/>
        <item t="countA"/>
      </items>
    </pivotField>
    <pivotField showAll="0"/>
    <pivotField showAll="0"/>
    <pivotField showAll="0" countASubtotal="1"/>
    <pivotField axis="axisRow" compact="0" showAll="0" includeNewItemsInFilter="1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showAll="0"/>
    <pivotField showAll="0"/>
    <pivotField numFmtId="44" showAll="0"/>
    <pivotField dataField="1" numFmtId="44" showAll="0"/>
    <pivotField showAll="0"/>
    <pivotField showAll="0" defaultSubtotal="0"/>
  </pivotFields>
  <rowFields count="2">
    <field x="2"/>
    <field x="6"/>
  </rowFields>
  <rowItems count="20">
    <i>
      <x/>
    </i>
    <i r="1">
      <x v="1"/>
    </i>
    <i>
      <x v="1"/>
    </i>
    <i r="1">
      <x v="1"/>
    </i>
    <i r="1">
      <x v="5"/>
    </i>
    <i>
      <x v="2"/>
    </i>
    <i r="1">
      <x/>
    </i>
    <i r="1">
      <x v="2"/>
    </i>
    <i>
      <x v="3"/>
    </i>
    <i r="1">
      <x v="6"/>
    </i>
    <i>
      <x v="4"/>
    </i>
    <i r="1">
      <x v="3"/>
    </i>
    <i r="1">
      <x v="4"/>
    </i>
    <i>
      <x v="5"/>
    </i>
    <i r="1">
      <x v="7"/>
    </i>
    <i>
      <x v="6"/>
    </i>
    <i r="1">
      <x/>
    </i>
    <i>
      <x v="7"/>
    </i>
    <i r="1">
      <x v="8"/>
    </i>
    <i t="grand">
      <x/>
    </i>
  </rowItems>
  <colItems count="1">
    <i/>
  </colItems>
  <dataFields count="1">
    <dataField name="Contagem de carros comprados" fld="10" subtotal="count" baseField="6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84E36-1F66-40C6-B612-01C62EA7239D}" name="Tabela dinâmica7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35" firstHeaderRow="1" firstDataRow="1" firstDataCol="1"/>
  <pivotFields count="13">
    <pivotField numFmtId="14" showAll="0"/>
    <pivotField showAll="0"/>
    <pivotField showAll="0"/>
    <pivotField showAll="0"/>
    <pivotField showAll="0"/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axis="axisRow" showAll="0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showAll="0"/>
    <pivotField numFmtId="44" showAll="0"/>
    <pivotField dataField="1" numFmtId="44" showAll="0"/>
    <pivotField showAll="0"/>
    <pivotField showAll="0" defaultSubtotal="0"/>
  </pivotFields>
  <rowFields count="3">
    <field x="6"/>
    <field x="7"/>
    <field x="5"/>
  </rowFields>
  <rowItems count="32">
    <i>
      <x/>
    </i>
    <i r="1">
      <x v="1"/>
    </i>
    <i r="2">
      <x v="1"/>
    </i>
    <i r="1">
      <x v="9"/>
    </i>
    <i r="2">
      <x v="9"/>
    </i>
    <i>
      <x v="1"/>
    </i>
    <i r="1">
      <x v="5"/>
    </i>
    <i r="2">
      <x v="5"/>
    </i>
    <i r="1">
      <x v="8"/>
    </i>
    <i r="2">
      <x v="8"/>
    </i>
    <i>
      <x v="2"/>
    </i>
    <i r="1">
      <x v="7"/>
    </i>
    <i r="2">
      <x v="7"/>
    </i>
    <i>
      <x v="3"/>
    </i>
    <i r="1">
      <x v="2"/>
    </i>
    <i r="2">
      <x v="2"/>
    </i>
    <i>
      <x v="4"/>
    </i>
    <i r="1">
      <x v="6"/>
    </i>
    <i r="2">
      <x v="6"/>
    </i>
    <i>
      <x v="5"/>
    </i>
    <i r="1">
      <x/>
    </i>
    <i r="2">
      <x/>
    </i>
    <i>
      <x v="6"/>
    </i>
    <i r="1">
      <x v="3"/>
    </i>
    <i r="2">
      <x v="3"/>
    </i>
    <i>
      <x v="7"/>
    </i>
    <i r="1">
      <x v="4"/>
    </i>
    <i r="2">
      <x v="4"/>
    </i>
    <i>
      <x v="8"/>
    </i>
    <i r="1">
      <x v="10"/>
    </i>
    <i r="2">
      <x v="10"/>
    </i>
    <i t="grand">
      <x/>
    </i>
  </rowItems>
  <colItems count="1">
    <i/>
  </colItems>
  <dataFields count="1">
    <dataField name="Contagem de carros" fld="1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61419A-4560-40FF-B65D-AEEB26A8A0E9}" name="Tabela dinâmica8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8" firstHeaderRow="1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numFmtId="44" showAll="0"/>
    <pivotField dataField="1" numFmtId="44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Fina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6DE4C-AD12-43B6-B63C-05030E59DF9C}" name="Tabela dinâmica9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A18" firstHeaderRow="1" firstDataRow="1" firstDataCol="1"/>
  <pivotFields count="13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axis="axisRow" showAll="0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showAll="0"/>
    <pivotField numFmtId="44" showAll="0"/>
    <pivotField numFmtId="44" showAll="0"/>
    <pivotField showAll="0"/>
    <pivotField axis="axisRow" showAll="0" sortType="descending" defaultSubtotal="0">
      <items count="14">
        <item sd="0" x="13"/>
        <item sd="0" x="0"/>
        <item sd="0" x="12"/>
        <item sd="0" x="11"/>
        <item x="10"/>
        <item sd="0" x="9"/>
        <item sd="0" x="8"/>
        <item sd="0" x="7"/>
        <item sd="0" x="6"/>
        <item sd="0" x="5"/>
        <item sd="0" x="4"/>
        <item sd="0" x="3"/>
        <item sd="0" x="2"/>
        <item sd="0" x="1"/>
      </items>
    </pivotField>
  </pivotFields>
  <rowFields count="5">
    <field x="12"/>
    <field x="0"/>
    <field x="6"/>
    <field x="7"/>
    <field x="5"/>
  </rowFields>
  <rowItems count="15">
    <i>
      <x v="4"/>
    </i>
    <i r="1">
      <x v="275"/>
    </i>
    <i r="2">
      <x v="1"/>
    </i>
    <i r="3">
      <x v="8"/>
    </i>
    <i r="4">
      <x v="8"/>
    </i>
    <i r="2">
      <x v="6"/>
    </i>
    <i r="3">
      <x v="3"/>
    </i>
    <i r="4">
      <x v="3"/>
    </i>
    <i r="1">
      <x v="276"/>
    </i>
    <i r="2">
      <x v="3"/>
    </i>
    <i r="3">
      <x v="2"/>
    </i>
    <i r="4">
      <x v="2"/>
    </i>
    <i>
      <x v="5"/>
    </i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E72B81-2B84-49C0-AB65-B6865F1A808B}" name="Tabela dinâmica10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0" firstHeaderRow="1" firstDataRow="1" firstDataCol="1"/>
  <pivotFields count="13"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axis="axisRow" showAll="0">
      <items count="6">
        <item x="0"/>
        <item x="3"/>
        <item x="1"/>
        <item x="2"/>
        <item x="4"/>
        <item t="default"/>
      </items>
    </pivotField>
    <pivotField numFmtId="44" showAll="0"/>
    <pivotField dataField="1" numFmtId="44" showAll="0"/>
    <pivotField showAll="0"/>
    <pivotField showAll="0" defaultSubtotal="0"/>
  </pivotFields>
  <rowFields count="2">
    <field x="8"/>
    <field x="7"/>
  </rowFields>
  <rowItems count="17">
    <i>
      <x/>
    </i>
    <i r="1">
      <x v="3"/>
    </i>
    <i r="1">
      <x v="10"/>
    </i>
    <i>
      <x v="1"/>
    </i>
    <i r="1">
      <x v="1"/>
    </i>
    <i r="1">
      <x v="7"/>
    </i>
    <i>
      <x v="2"/>
    </i>
    <i r="1">
      <x/>
    </i>
    <i r="1">
      <x v="6"/>
    </i>
    <i>
      <x v="3"/>
    </i>
    <i r="1">
      <x v="5"/>
    </i>
    <i r="1">
      <x v="8"/>
    </i>
    <i r="1">
      <x v="9"/>
    </i>
    <i>
      <x v="4"/>
    </i>
    <i r="1">
      <x v="2"/>
    </i>
    <i r="1">
      <x v="4"/>
    </i>
    <i t="grand">
      <x/>
    </i>
  </rowItems>
  <colItems count="1">
    <i/>
  </colItems>
  <dataFields count="1">
    <dataField name="Contagem de Valor Final" fld="10" subtotal="count" baseField="8" baseItem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9F21F-3B2C-4D2C-9692-89795BEA1329}" name="Tabela dinâmica11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24" firstHeaderRow="1" firstDataRow="1" firstDataCol="1"/>
  <pivotFields count="13">
    <pivotField numFmtId="14" showAll="0"/>
    <pivotField showAll="0"/>
    <pivotField showAll="0"/>
    <pivotField showAll="0"/>
    <pivotField showAll="0"/>
    <pivotField showAll="0"/>
    <pivotField axis="axisRow" showAll="0">
      <items count="10">
        <item x="2"/>
        <item x="3"/>
        <item x="8"/>
        <item x="6"/>
        <item x="1"/>
        <item x="7"/>
        <item x="5"/>
        <item x="4"/>
        <item x="0"/>
        <item t="default"/>
      </items>
    </pivotField>
    <pivotField axis="axisRow" showAll="0">
      <items count="12">
        <item x="8"/>
        <item x="4"/>
        <item x="7"/>
        <item x="6"/>
        <item x="5"/>
        <item x="3"/>
        <item x="1"/>
        <item x="9"/>
        <item x="10"/>
        <item x="2"/>
        <item x="0"/>
        <item t="default"/>
      </items>
    </pivotField>
    <pivotField showAll="0"/>
    <pivotField numFmtId="44" showAll="0"/>
    <pivotField dataField="1" numFmtId="44" showAll="0"/>
    <pivotField showAll="0"/>
    <pivotField showAll="0" defaultSubtotal="0"/>
  </pivotFields>
  <rowFields count="2">
    <field x="6"/>
    <field x="7"/>
  </rowFields>
  <rowItems count="21">
    <i>
      <x/>
    </i>
    <i r="1">
      <x v="1"/>
    </i>
    <i r="1">
      <x v="9"/>
    </i>
    <i>
      <x v="1"/>
    </i>
    <i r="1">
      <x v="5"/>
    </i>
    <i r="1">
      <x v="8"/>
    </i>
    <i>
      <x v="2"/>
    </i>
    <i r="1">
      <x v="7"/>
    </i>
    <i>
      <x v="3"/>
    </i>
    <i r="1">
      <x v="2"/>
    </i>
    <i>
      <x v="4"/>
    </i>
    <i r="1">
      <x v="6"/>
    </i>
    <i>
      <x v="5"/>
    </i>
    <i r="1">
      <x/>
    </i>
    <i>
      <x v="6"/>
    </i>
    <i r="1">
      <x v="3"/>
    </i>
    <i>
      <x v="7"/>
    </i>
    <i r="1">
      <x v="4"/>
    </i>
    <i>
      <x v="8"/>
    </i>
    <i r="1">
      <x v="10"/>
    </i>
    <i t="grand">
      <x/>
    </i>
  </rowItems>
  <colItems count="1">
    <i/>
  </colItems>
  <dataFields count="1">
    <dataField name="Média de Valor Final" fld="10" subtotal="average" baseField="7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21ED3-E7B8-4387-A475-75113EA1B587}" name="Tabela dinâmica1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6" firstHeaderRow="1" firstDataRow="1" firstDataCol="1"/>
  <pivotFields count="13">
    <pivotField numFmtId="14" showAll="0"/>
    <pivotField showAll="0"/>
    <pivotField axis="axisRow" showAll="0">
      <items count="9">
        <item x="7"/>
        <item x="3"/>
        <item x="4"/>
        <item x="6"/>
        <item x="1"/>
        <item x="5"/>
        <item x="2"/>
        <item x="0"/>
        <item t="default"/>
      </items>
    </pivotField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numFmtId="44" showAll="0"/>
    <pivotField dataField="1" numFmtId="44" showAll="0"/>
    <pivotField showAll="0"/>
    <pivotField showAll="0" defaultSubtotal="0"/>
  </pivotFields>
  <rowFields count="2">
    <field x="4"/>
    <field x="2"/>
  </rowFields>
  <rowItems count="13">
    <i>
      <x/>
    </i>
    <i r="1">
      <x v="4"/>
    </i>
    <i>
      <x v="1"/>
    </i>
    <i r="1">
      <x v="1"/>
    </i>
    <i r="1">
      <x v="2"/>
    </i>
    <i r="1">
      <x v="3"/>
    </i>
    <i r="1">
      <x v="5"/>
    </i>
    <i>
      <x v="2"/>
    </i>
    <i r="1">
      <x/>
    </i>
    <i r="1">
      <x v="6"/>
    </i>
    <i>
      <x v="3"/>
    </i>
    <i r="1">
      <x v="7"/>
    </i>
    <i t="grand">
      <x/>
    </i>
  </rowItems>
  <colItems count="1">
    <i/>
  </colItems>
  <dataFields count="1">
    <dataField name="Contagem de compras" fld="10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486B2-CC7F-4F9F-B83F-AB6423EF3E3A}" name="Tabela dinâmica3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7" firstHeaderRow="1" firstDataRow="1" firstDataCol="1"/>
  <pivotFields count="13"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dataField="1" numFmtId="44" showAll="0" countASubtotal="1"/>
    <pivotField axis="axisRow" showAll="0">
      <items count="4">
        <item x="1"/>
        <item x="2"/>
        <item x="0"/>
        <item t="default"/>
      </items>
    </pivotField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Vendas" fld="10" subtotal="count" baseField="1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90FFBD-5F78-4788-80A0-C88D185AE227}" name="Tabela dinâmica5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7" firstHeaderRow="1" firstDataRow="1" firstDataCol="1"/>
  <pivotFields count="13"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dataField="1" numFmtId="44" showAll="0"/>
    <pivotField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2"/>
  </rowFields>
  <rowItems count="4">
    <i>
      <x v="8"/>
    </i>
    <i>
      <x v="9"/>
    </i>
    <i>
      <x v="10"/>
    </i>
    <i t="grand">
      <x/>
    </i>
  </rowItems>
  <colItems count="1">
    <i/>
  </colItems>
  <dataFields count="1">
    <dataField name="Média de Valor Final" fld="10" subtotal="average" baseField="12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FDA6F-46EF-4780-9FF6-504096184E92}" name="Tabela dinâmica6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Marcas">
  <location ref="A3:B15" firstHeaderRow="1" firstDataRow="1" firstDataCol="1"/>
  <pivotFields count="13">
    <pivotField numFmtId="14" showAll="0"/>
    <pivotField showAll="0"/>
    <pivotField dataField="1" showAll="0">
      <items count="9">
        <item x="7"/>
        <item x="3"/>
        <item x="0"/>
        <item x="4"/>
        <item x="6"/>
        <item x="1"/>
        <item x="5"/>
        <item x="2"/>
        <item t="default"/>
      </items>
    </pivotField>
    <pivotField showAll="0"/>
    <pivotField showAll="0"/>
    <pivotField showAll="0"/>
    <pivotField showAll="0"/>
    <pivotField axis="axisRow" showAll="0">
      <items count="12">
        <item x="8"/>
        <item x="4"/>
        <item x="7"/>
        <item x="6"/>
        <item x="5"/>
        <item x="3"/>
        <item x="1"/>
        <item x="9"/>
        <item x="0"/>
        <item x="10"/>
        <item x="2"/>
        <item t="default"/>
      </items>
    </pivotField>
    <pivotField showAll="0"/>
    <pivotField numFmtId="44" showAll="0"/>
    <pivotField numFmtId="44" showAll="0"/>
    <pivotField showAll="0"/>
    <pivotField showAll="0" defaultSubtotal="0"/>
  </pivotFields>
  <rowFields count="1">
    <field x="7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ntagem de cliente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useiconstruirmelhorqueoeggman@gmail.com" TargetMode="External"/><Relationship Id="rId13" Type="http://schemas.openxmlformats.org/officeDocument/2006/relationships/hyperlink" Target="mailto:espiooo@gmail.com" TargetMode="External"/><Relationship Id="rId18" Type="http://schemas.openxmlformats.org/officeDocument/2006/relationships/hyperlink" Target="mailto:eunaosouhomemconfia@gmail.com" TargetMode="External"/><Relationship Id="rId26" Type="http://schemas.openxmlformats.org/officeDocument/2006/relationships/hyperlink" Target="mailto:blrblrblrbl@gmail.com" TargetMode="External"/><Relationship Id="rId3" Type="http://schemas.openxmlformats.org/officeDocument/2006/relationships/hyperlink" Target="mailto:kogama@gmail.com" TargetMode="External"/><Relationship Id="rId21" Type="http://schemas.openxmlformats.org/officeDocument/2006/relationships/hyperlink" Target="mailto:euadoroouro@gmail.com" TargetMode="External"/><Relationship Id="rId7" Type="http://schemas.openxmlformats.org/officeDocument/2006/relationships/hyperlink" Target="mailto:eggmansupremo@gmail.com" TargetMode="External"/><Relationship Id="rId12" Type="http://schemas.openxmlformats.org/officeDocument/2006/relationships/hyperlink" Target="mailto:kaogama@gmail.com" TargetMode="External"/><Relationship Id="rId17" Type="http://schemas.openxmlformats.org/officeDocument/2006/relationships/hyperlink" Target="mailto:eusoumulherconfia@gmail.com" TargetMode="External"/><Relationship Id="rId25" Type="http://schemas.openxmlformats.org/officeDocument/2006/relationships/hyperlink" Target="mailto:emailcriadoporai@gmail.com" TargetMode="External"/><Relationship Id="rId2" Type="http://schemas.openxmlformats.org/officeDocument/2006/relationships/hyperlink" Target="mailto:purorow@gmail.com" TargetMode="External"/><Relationship Id="rId16" Type="http://schemas.openxmlformats.org/officeDocument/2006/relationships/hyperlink" Target="mailto:fazol@gmail.com" TargetMode="External"/><Relationship Id="rId20" Type="http://schemas.openxmlformats.org/officeDocument/2006/relationships/hyperlink" Target="mailto:falabonecasebencos@gmail.com" TargetMode="External"/><Relationship Id="rId29" Type="http://schemas.openxmlformats.org/officeDocument/2006/relationships/hyperlink" Target="mailto:eusouodio@gmail.com" TargetMode="External"/><Relationship Id="rId1" Type="http://schemas.openxmlformats.org/officeDocument/2006/relationships/hyperlink" Target="mailto:cudois@gmail.com" TargetMode="External"/><Relationship Id="rId6" Type="http://schemas.openxmlformats.org/officeDocument/2006/relationships/hyperlink" Target="mailto:Soniclixo@gmail.com" TargetMode="External"/><Relationship Id="rId11" Type="http://schemas.openxmlformats.org/officeDocument/2006/relationships/hyperlink" Target="mailto:98217491278@gmail.com" TargetMode="External"/><Relationship Id="rId24" Type="http://schemas.openxmlformats.org/officeDocument/2006/relationships/hyperlink" Target="mailto:eunaosoufraco@gmail.com" TargetMode="External"/><Relationship Id="rId32" Type="http://schemas.openxmlformats.org/officeDocument/2006/relationships/drawing" Target="../drawings/drawing1.xml"/><Relationship Id="rId5" Type="http://schemas.openxmlformats.org/officeDocument/2006/relationships/hyperlink" Target="mailto:Sonicegostoso@gmail.com" TargetMode="External"/><Relationship Id="rId15" Type="http://schemas.openxmlformats.org/officeDocument/2006/relationships/hyperlink" Target="mailto:imbroxavel@gmail.com" TargetMode="External"/><Relationship Id="rId23" Type="http://schemas.openxmlformats.org/officeDocument/2006/relationships/hyperlink" Target="mailto:sucumbaastrevas@gmail.com" TargetMode="External"/><Relationship Id="rId28" Type="http://schemas.openxmlformats.org/officeDocument/2006/relationships/hyperlink" Target="mailto:eutenhoumsonho@gmail.com" TargetMode="External"/><Relationship Id="rId10" Type="http://schemas.openxmlformats.org/officeDocument/2006/relationships/hyperlink" Target="mailto:Euamoosonic@gmail.com" TargetMode="External"/><Relationship Id="rId19" Type="http://schemas.openxmlformats.org/officeDocument/2006/relationships/hyperlink" Target="mailto:eusoumaiorde18@gmail.com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mailto:supermario@gmail.com" TargetMode="External"/><Relationship Id="rId9" Type="http://schemas.openxmlformats.org/officeDocument/2006/relationships/hyperlink" Target="mailto:eunaoseiusarcomputador@gmail.com" TargetMode="External"/><Relationship Id="rId14" Type="http://schemas.openxmlformats.org/officeDocument/2006/relationships/hyperlink" Target="mailto:vecvecvec@gmail.com" TargetMode="External"/><Relationship Id="rId22" Type="http://schemas.openxmlformats.org/officeDocument/2006/relationships/hyperlink" Target="mailto:eusouolarioprazer@gmail.com" TargetMode="External"/><Relationship Id="rId27" Type="http://schemas.openxmlformats.org/officeDocument/2006/relationships/hyperlink" Target="mailto:eusoudeus@gmail.com" TargetMode="External"/><Relationship Id="rId30" Type="http://schemas.openxmlformats.org/officeDocument/2006/relationships/hyperlink" Target="mailto:eunaosouochefedamafiaitalianaconfia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R31D4PUT4R14@gmail.com" TargetMode="External"/><Relationship Id="rId3" Type="http://schemas.openxmlformats.org/officeDocument/2006/relationships/hyperlink" Target="mailto:apeifhaob@gmail.com" TargetMode="External"/><Relationship Id="rId7" Type="http://schemas.openxmlformats.org/officeDocument/2006/relationships/hyperlink" Target="mailto:eusouumdeus@gmail.com" TargetMode="External"/><Relationship Id="rId12" Type="http://schemas.openxmlformats.org/officeDocument/2006/relationships/drawing" Target="../drawings/drawing3.xml"/><Relationship Id="rId2" Type="http://schemas.openxmlformats.org/officeDocument/2006/relationships/hyperlink" Target="mailto:Eusoumaisforterqueokakarotto@gmail.com" TargetMode="External"/><Relationship Id="rId1" Type="http://schemas.openxmlformats.org/officeDocument/2006/relationships/hyperlink" Target="mailto:oieusouogoku@gmail.com" TargetMode="External"/><Relationship Id="rId6" Type="http://schemas.openxmlformats.org/officeDocument/2006/relationships/hyperlink" Target="mailto:Vaiestudargohgan@gmail.com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baseballlegal@gmail.com" TargetMode="External"/><Relationship Id="rId10" Type="http://schemas.openxmlformats.org/officeDocument/2006/relationships/hyperlink" Target="mailto:eucuideidogohan@gmail.com" TargetMode="External"/><Relationship Id="rId4" Type="http://schemas.openxmlformats.org/officeDocument/2006/relationships/hyperlink" Target="mailto:bababoy@gmail.com" TargetMode="External"/><Relationship Id="rId9" Type="http://schemas.openxmlformats.org/officeDocument/2006/relationships/hyperlink" Target="mailto:eugostodepudim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Q1165"/>
  <sheetViews>
    <sheetView showGridLines="0" zoomScale="85" zoomScaleNormal="85" workbookViewId="0">
      <selection activeCell="B16" sqref="B16"/>
    </sheetView>
  </sheetViews>
  <sheetFormatPr defaultRowHeight="15" x14ac:dyDescent="0.25"/>
  <cols>
    <col min="2" max="2" width="10.28515625" customWidth="1"/>
    <col min="3" max="3" width="73.140625" customWidth="1"/>
    <col min="4" max="4" width="14.5703125" bestFit="1" customWidth="1"/>
    <col min="5" max="5" width="15.140625" bestFit="1" customWidth="1"/>
    <col min="6" max="6" width="19.7109375" bestFit="1" customWidth="1"/>
    <col min="7" max="7" width="8.7109375" customWidth="1"/>
    <col min="8" max="8" width="13.7109375" customWidth="1"/>
    <col min="9" max="9" width="50.28515625" bestFit="1" customWidth="1"/>
  </cols>
  <sheetData>
    <row r="1" spans="2:17" ht="32.25" x14ac:dyDescent="0.4">
      <c r="B1" s="8"/>
      <c r="C1" s="9"/>
      <c r="D1" s="9"/>
      <c r="E1" s="9"/>
      <c r="F1" s="9"/>
      <c r="G1" s="9"/>
      <c r="H1" s="9"/>
      <c r="I1" s="9"/>
      <c r="J1" s="9"/>
      <c r="K1" s="9"/>
      <c r="L1" s="1"/>
      <c r="M1" s="1"/>
      <c r="N1" s="1"/>
      <c r="O1" s="1"/>
      <c r="P1" s="1"/>
      <c r="Q1" s="1"/>
    </row>
    <row r="4" spans="2:17" x14ac:dyDescent="0.25">
      <c r="B4" s="5" t="s">
        <v>0</v>
      </c>
      <c r="C4" s="26"/>
    </row>
    <row r="5" spans="2:17" x14ac:dyDescent="0.25">
      <c r="B5" s="5" t="s">
        <v>1</v>
      </c>
      <c r="C5" s="26"/>
    </row>
    <row r="6" spans="2:17" x14ac:dyDescent="0.25">
      <c r="B6" s="6" t="s">
        <v>8</v>
      </c>
      <c r="C6" s="26"/>
    </row>
    <row r="7" spans="2:17" x14ac:dyDescent="0.25">
      <c r="B7" s="6" t="s">
        <v>7</v>
      </c>
      <c r="C7" s="26"/>
    </row>
    <row r="8" spans="2:17" x14ac:dyDescent="0.25">
      <c r="B8" s="3" t="s">
        <v>6</v>
      </c>
      <c r="C8" s="26"/>
    </row>
    <row r="9" spans="2:17" x14ac:dyDescent="0.25">
      <c r="B9" s="3" t="s">
        <v>5</v>
      </c>
      <c r="C9" s="26"/>
    </row>
    <row r="10" spans="2:17" x14ac:dyDescent="0.25">
      <c r="B10" s="7" t="s">
        <v>9</v>
      </c>
      <c r="C10" s="26"/>
    </row>
    <row r="11" spans="2:17" x14ac:dyDescent="0.25">
      <c r="B11" s="10" t="s">
        <v>11</v>
      </c>
      <c r="C11" s="27"/>
    </row>
    <row r="13" spans="2:17" x14ac:dyDescent="0.25">
      <c r="K13" s="22"/>
    </row>
    <row r="14" spans="2:17" x14ac:dyDescent="0.25">
      <c r="K14" s="22"/>
    </row>
    <row r="15" spans="2:17" x14ac:dyDescent="0.25">
      <c r="B15" s="4" t="s">
        <v>12</v>
      </c>
      <c r="C15" s="4" t="s">
        <v>13</v>
      </c>
      <c r="D15" s="4" t="s">
        <v>2</v>
      </c>
      <c r="E15" s="4" t="s">
        <v>3</v>
      </c>
      <c r="F15" s="4" t="s">
        <v>4</v>
      </c>
      <c r="G15" s="4" t="s">
        <v>14</v>
      </c>
      <c r="H15" s="4" t="s">
        <v>15</v>
      </c>
      <c r="I15" s="4" t="s">
        <v>10</v>
      </c>
      <c r="K15" s="22"/>
    </row>
    <row r="16" spans="2:17" x14ac:dyDescent="0.25">
      <c r="B16" s="26">
        <v>66666667</v>
      </c>
      <c r="C16" s="26" t="s">
        <v>485</v>
      </c>
      <c r="D16" s="26" t="s">
        <v>486</v>
      </c>
      <c r="E16" s="26" t="s">
        <v>487</v>
      </c>
      <c r="F16" s="26" t="s">
        <v>488</v>
      </c>
      <c r="G16" s="26">
        <v>12987412</v>
      </c>
      <c r="H16" s="26">
        <v>12472918413</v>
      </c>
      <c r="I16" s="27" t="s">
        <v>489</v>
      </c>
      <c r="K16" s="22"/>
    </row>
    <row r="17" spans="2:11" x14ac:dyDescent="0.25">
      <c r="B17" s="26">
        <v>676745</v>
      </c>
      <c r="C17" s="26" t="s">
        <v>480</v>
      </c>
      <c r="D17" s="26" t="s">
        <v>481</v>
      </c>
      <c r="E17" s="26" t="s">
        <v>482</v>
      </c>
      <c r="F17" s="26" t="s">
        <v>483</v>
      </c>
      <c r="G17" s="26">
        <v>198324</v>
      </c>
      <c r="H17" s="26">
        <v>21984673198</v>
      </c>
      <c r="I17" s="27" t="s">
        <v>484</v>
      </c>
      <c r="K17" s="22"/>
    </row>
    <row r="18" spans="2:11" x14ac:dyDescent="0.25">
      <c r="B18" s="26">
        <v>98977652</v>
      </c>
      <c r="C18" s="26" t="s">
        <v>475</v>
      </c>
      <c r="D18" s="26" t="s">
        <v>476</v>
      </c>
      <c r="E18" s="26" t="s">
        <v>477</v>
      </c>
      <c r="F18" s="26" t="s">
        <v>478</v>
      </c>
      <c r="G18" s="26">
        <v>1289764</v>
      </c>
      <c r="H18" s="26">
        <v>12946874612</v>
      </c>
      <c r="I18" s="27" t="s">
        <v>479</v>
      </c>
      <c r="K18" s="22"/>
    </row>
    <row r="19" spans="2:11" x14ac:dyDescent="0.25">
      <c r="B19" s="26">
        <v>666</v>
      </c>
      <c r="C19" s="26" t="s">
        <v>470</v>
      </c>
      <c r="D19" s="26" t="s">
        <v>471</v>
      </c>
      <c r="E19" s="26" t="s">
        <v>472</v>
      </c>
      <c r="F19" s="26" t="s">
        <v>473</v>
      </c>
      <c r="G19" s="26">
        <v>2198471</v>
      </c>
      <c r="H19" s="26">
        <v>12874124371</v>
      </c>
      <c r="I19" s="27" t="s">
        <v>474</v>
      </c>
      <c r="K19" s="22"/>
    </row>
    <row r="20" spans="2:11" x14ac:dyDescent="0.25">
      <c r="B20" s="26">
        <v>919191919</v>
      </c>
      <c r="C20" s="26" t="s">
        <v>467</v>
      </c>
      <c r="D20" s="26" t="s">
        <v>468</v>
      </c>
      <c r="E20" s="26" t="s">
        <v>60</v>
      </c>
      <c r="F20" s="26" t="s">
        <v>59</v>
      </c>
      <c r="G20" s="26">
        <v>12874</v>
      </c>
      <c r="H20" s="26">
        <v>19247124921</v>
      </c>
      <c r="I20" s="27" t="s">
        <v>469</v>
      </c>
      <c r="K20" s="22"/>
    </row>
    <row r="21" spans="2:11" x14ac:dyDescent="0.25">
      <c r="B21" s="26">
        <v>12341246</v>
      </c>
      <c r="C21" s="26" t="s">
        <v>465</v>
      </c>
      <c r="D21" s="26" t="s">
        <v>461</v>
      </c>
      <c r="E21" s="26" t="s">
        <v>462</v>
      </c>
      <c r="F21" s="26" t="s">
        <v>463</v>
      </c>
      <c r="G21" s="26">
        <v>1246812</v>
      </c>
      <c r="H21" s="26">
        <v>1328741294</v>
      </c>
      <c r="I21" s="27" t="s">
        <v>466</v>
      </c>
      <c r="K21" s="22"/>
    </row>
    <row r="22" spans="2:11" x14ac:dyDescent="0.25">
      <c r="B22" s="26">
        <v>1298471</v>
      </c>
      <c r="C22" s="26" t="s">
        <v>460</v>
      </c>
      <c r="D22" s="26" t="s">
        <v>461</v>
      </c>
      <c r="E22" s="26" t="s">
        <v>462</v>
      </c>
      <c r="F22" s="26" t="s">
        <v>463</v>
      </c>
      <c r="G22" s="26">
        <v>1982741</v>
      </c>
      <c r="H22" s="26">
        <v>2190471212</v>
      </c>
      <c r="I22" s="27" t="s">
        <v>464</v>
      </c>
      <c r="K22" s="22"/>
    </row>
    <row r="23" spans="2:11" x14ac:dyDescent="0.25">
      <c r="B23" s="26">
        <v>6666666</v>
      </c>
      <c r="C23" s="26" t="s">
        <v>455</v>
      </c>
      <c r="D23" s="26" t="s">
        <v>456</v>
      </c>
      <c r="E23" s="26" t="s">
        <v>457</v>
      </c>
      <c r="F23" s="26" t="s">
        <v>458</v>
      </c>
      <c r="G23" s="26">
        <v>164123</v>
      </c>
      <c r="H23" s="26">
        <v>2198416123</v>
      </c>
      <c r="I23" s="27" t="s">
        <v>459</v>
      </c>
      <c r="K23" s="22"/>
    </row>
    <row r="24" spans="2:11" x14ac:dyDescent="0.25">
      <c r="B24" s="26">
        <v>897248</v>
      </c>
      <c r="C24" s="26" t="s">
        <v>450</v>
      </c>
      <c r="D24" s="26" t="s">
        <v>451</v>
      </c>
      <c r="E24" s="26" t="s">
        <v>452</v>
      </c>
      <c r="F24" s="26" t="s">
        <v>453</v>
      </c>
      <c r="G24" s="26">
        <v>41214</v>
      </c>
      <c r="H24" s="26">
        <v>182746134</v>
      </c>
      <c r="I24" s="27" t="s">
        <v>454</v>
      </c>
      <c r="K24" s="22"/>
    </row>
    <row r="25" spans="2:11" x14ac:dyDescent="0.25">
      <c r="B25" s="26">
        <v>1273212</v>
      </c>
      <c r="C25" s="26" t="s">
        <v>445</v>
      </c>
      <c r="D25" s="26" t="s">
        <v>446</v>
      </c>
      <c r="E25" s="26" t="s">
        <v>447</v>
      </c>
      <c r="F25" s="26" t="s">
        <v>448</v>
      </c>
      <c r="G25" s="26">
        <v>17121234</v>
      </c>
      <c r="H25" s="26">
        <v>12489712987</v>
      </c>
      <c r="I25" s="27" t="s">
        <v>449</v>
      </c>
      <c r="K25" s="22"/>
    </row>
    <row r="26" spans="2:11" x14ac:dyDescent="0.25">
      <c r="B26" s="26">
        <v>182736421</v>
      </c>
      <c r="C26" s="26" t="s">
        <v>440</v>
      </c>
      <c r="D26" s="26" t="s">
        <v>441</v>
      </c>
      <c r="E26" s="26" t="s">
        <v>442</v>
      </c>
      <c r="F26" s="26" t="s">
        <v>443</v>
      </c>
      <c r="G26" s="26">
        <v>2749748</v>
      </c>
      <c r="H26" s="26">
        <v>19478987124</v>
      </c>
      <c r="I26" s="27" t="s">
        <v>444</v>
      </c>
      <c r="K26" s="22"/>
    </row>
    <row r="27" spans="2:11" x14ac:dyDescent="0.25">
      <c r="B27" s="26">
        <v>9721412</v>
      </c>
      <c r="C27" s="26" t="s">
        <v>435</v>
      </c>
      <c r="D27" s="26" t="s">
        <v>436</v>
      </c>
      <c r="E27" s="26" t="s">
        <v>437</v>
      </c>
      <c r="F27" s="26" t="s">
        <v>438</v>
      </c>
      <c r="G27" s="26">
        <v>97148</v>
      </c>
      <c r="H27" s="26">
        <v>8714981724</v>
      </c>
      <c r="I27" s="27" t="s">
        <v>439</v>
      </c>
      <c r="K27" s="22"/>
    </row>
    <row r="28" spans="2:11" x14ac:dyDescent="0.25">
      <c r="B28" s="26">
        <v>696867</v>
      </c>
      <c r="C28" s="26" t="s">
        <v>430</v>
      </c>
      <c r="D28" s="26" t="s">
        <v>431</v>
      </c>
      <c r="E28" s="26" t="s">
        <v>432</v>
      </c>
      <c r="F28" s="26" t="s">
        <v>433</v>
      </c>
      <c r="G28" s="26">
        <v>81273</v>
      </c>
      <c r="H28" s="26">
        <v>987497124</v>
      </c>
      <c r="I28" s="27" t="s">
        <v>434</v>
      </c>
      <c r="K28" s="22"/>
    </row>
    <row r="29" spans="2:11" x14ac:dyDescent="0.25">
      <c r="B29" s="26">
        <v>124854</v>
      </c>
      <c r="C29" s="26" t="s">
        <v>425</v>
      </c>
      <c r="D29" s="26" t="s">
        <v>426</v>
      </c>
      <c r="E29" s="26" t="s">
        <v>427</v>
      </c>
      <c r="F29" s="26" t="s">
        <v>428</v>
      </c>
      <c r="G29" s="26">
        <v>124987</v>
      </c>
      <c r="H29" s="26">
        <v>1723783192</v>
      </c>
      <c r="I29" s="27" t="s">
        <v>429</v>
      </c>
      <c r="K29" s="22"/>
    </row>
    <row r="30" spans="2:11" x14ac:dyDescent="0.25">
      <c r="B30" s="26">
        <v>1428321</v>
      </c>
      <c r="C30" s="26" t="s">
        <v>420</v>
      </c>
      <c r="D30" s="26" t="s">
        <v>421</v>
      </c>
      <c r="E30" s="26" t="s">
        <v>422</v>
      </c>
      <c r="F30" s="26" t="s">
        <v>423</v>
      </c>
      <c r="G30" s="26">
        <v>147124</v>
      </c>
      <c r="H30" s="26">
        <v>14712847221</v>
      </c>
      <c r="I30" s="27" t="s">
        <v>424</v>
      </c>
      <c r="K30" s="22"/>
    </row>
    <row r="31" spans="2:11" x14ac:dyDescent="0.25">
      <c r="B31" s="26">
        <v>12094732</v>
      </c>
      <c r="C31" s="26" t="s">
        <v>415</v>
      </c>
      <c r="D31" s="26" t="s">
        <v>416</v>
      </c>
      <c r="E31" s="26" t="s">
        <v>417</v>
      </c>
      <c r="F31" s="26" t="s">
        <v>418</v>
      </c>
      <c r="G31" s="26">
        <v>124897</v>
      </c>
      <c r="H31" s="26">
        <v>9725972835</v>
      </c>
      <c r="I31" s="27" t="s">
        <v>419</v>
      </c>
      <c r="K31" s="22"/>
    </row>
    <row r="32" spans="2:11" x14ac:dyDescent="0.25">
      <c r="B32" s="26">
        <v>1242112</v>
      </c>
      <c r="C32" s="26" t="s">
        <v>410</v>
      </c>
      <c r="D32" s="26" t="s">
        <v>411</v>
      </c>
      <c r="E32" s="26" t="s">
        <v>412</v>
      </c>
      <c r="F32" s="26" t="s">
        <v>413</v>
      </c>
      <c r="G32" s="26">
        <v>2134214</v>
      </c>
      <c r="H32" s="26">
        <v>214125135</v>
      </c>
      <c r="I32" s="27" t="s">
        <v>414</v>
      </c>
      <c r="K32" s="22"/>
    </row>
    <row r="33" spans="2:11" x14ac:dyDescent="0.25">
      <c r="B33" s="26">
        <v>214142</v>
      </c>
      <c r="C33" s="26" t="s">
        <v>405</v>
      </c>
      <c r="D33" s="26" t="s">
        <v>406</v>
      </c>
      <c r="E33" s="26" t="s">
        <v>407</v>
      </c>
      <c r="F33" s="26" t="s">
        <v>408</v>
      </c>
      <c r="G33" s="26">
        <v>312987</v>
      </c>
      <c r="H33" s="26" t="s">
        <v>60</v>
      </c>
      <c r="I33" s="27" t="s">
        <v>409</v>
      </c>
      <c r="K33" s="22"/>
    </row>
    <row r="34" spans="2:11" x14ac:dyDescent="0.25">
      <c r="B34" s="26">
        <v>789023</v>
      </c>
      <c r="C34" s="26" t="s">
        <v>400</v>
      </c>
      <c r="D34" s="26" t="s">
        <v>401</v>
      </c>
      <c r="E34" s="26" t="s">
        <v>402</v>
      </c>
      <c r="F34" s="26" t="s">
        <v>403</v>
      </c>
      <c r="G34" s="26">
        <v>981273</v>
      </c>
      <c r="H34" s="26">
        <v>10287312311</v>
      </c>
      <c r="I34" s="27" t="s">
        <v>404</v>
      </c>
      <c r="K34" s="22"/>
    </row>
    <row r="35" spans="2:11" x14ac:dyDescent="0.25">
      <c r="B35" s="26">
        <v>904567</v>
      </c>
      <c r="C35" s="26" t="s">
        <v>395</v>
      </c>
      <c r="D35" s="26" t="s">
        <v>396</v>
      </c>
      <c r="E35" s="26" t="s">
        <v>397</v>
      </c>
      <c r="F35" s="26" t="s">
        <v>398</v>
      </c>
      <c r="G35" s="26">
        <v>187246</v>
      </c>
      <c r="H35" s="26">
        <v>1294712214</v>
      </c>
      <c r="I35" s="27" t="s">
        <v>399</v>
      </c>
      <c r="K35" s="22"/>
    </row>
    <row r="36" spans="2:11" x14ac:dyDescent="0.25">
      <c r="B36" s="26">
        <v>123456</v>
      </c>
      <c r="C36" s="26" t="s">
        <v>63</v>
      </c>
      <c r="D36" s="26" t="s">
        <v>46</v>
      </c>
      <c r="E36" s="26" t="s">
        <v>64</v>
      </c>
      <c r="F36" s="26" t="s">
        <v>56</v>
      </c>
      <c r="G36" s="26">
        <v>18243</v>
      </c>
      <c r="H36" s="26">
        <v>1284712134</v>
      </c>
      <c r="I36" s="27" t="s">
        <v>65</v>
      </c>
      <c r="K36" s="22"/>
    </row>
    <row r="37" spans="2:11" x14ac:dyDescent="0.25">
      <c r="B37" s="26">
        <v>1287468</v>
      </c>
      <c r="C37" s="26" t="s">
        <v>58</v>
      </c>
      <c r="D37" s="26" t="s">
        <v>59</v>
      </c>
      <c r="E37" s="26" t="s">
        <v>60</v>
      </c>
      <c r="F37" s="26" t="s">
        <v>61</v>
      </c>
      <c r="G37" s="26">
        <v>182462</v>
      </c>
      <c r="H37" s="26">
        <v>9182471</v>
      </c>
      <c r="I37" s="27" t="s">
        <v>62</v>
      </c>
      <c r="K37" s="22"/>
    </row>
    <row r="38" spans="2:11" x14ac:dyDescent="0.25">
      <c r="B38" s="26">
        <v>129643</v>
      </c>
      <c r="C38" s="26" t="s">
        <v>54</v>
      </c>
      <c r="D38" s="26" t="s">
        <v>46</v>
      </c>
      <c r="E38" s="26" t="s">
        <v>55</v>
      </c>
      <c r="F38" s="26" t="s">
        <v>56</v>
      </c>
      <c r="G38" s="26">
        <v>12746</v>
      </c>
      <c r="H38" s="26">
        <v>12749812847</v>
      </c>
      <c r="I38" s="27" t="s">
        <v>57</v>
      </c>
      <c r="K38" s="22"/>
    </row>
    <row r="39" spans="2:11" x14ac:dyDescent="0.25">
      <c r="B39" s="26">
        <v>1287346</v>
      </c>
      <c r="C39" s="26" t="s">
        <v>49</v>
      </c>
      <c r="D39" s="26" t="s">
        <v>50</v>
      </c>
      <c r="E39" s="26" t="s">
        <v>51</v>
      </c>
      <c r="F39" s="26" t="s">
        <v>52</v>
      </c>
      <c r="G39" s="26">
        <v>18236</v>
      </c>
      <c r="H39" s="26">
        <v>912471487</v>
      </c>
      <c r="I39" s="27" t="s">
        <v>53</v>
      </c>
      <c r="K39" s="22"/>
    </row>
    <row r="40" spans="2:11" x14ac:dyDescent="0.25">
      <c r="B40" s="26">
        <v>696969</v>
      </c>
      <c r="C40" s="26" t="s">
        <v>45</v>
      </c>
      <c r="D40" s="26" t="s">
        <v>46</v>
      </c>
      <c r="E40" s="26" t="s">
        <v>47</v>
      </c>
      <c r="F40" s="26" t="s">
        <v>43</v>
      </c>
      <c r="G40" s="26">
        <v>126341</v>
      </c>
      <c r="H40" s="26">
        <v>126412846</v>
      </c>
      <c r="I40" s="27" t="s">
        <v>48</v>
      </c>
      <c r="K40" s="22"/>
    </row>
    <row r="41" spans="2:11" x14ac:dyDescent="0.25">
      <c r="B41" s="26">
        <v>912634912</v>
      </c>
      <c r="C41" s="26" t="s">
        <v>40</v>
      </c>
      <c r="D41" s="26" t="s">
        <v>41</v>
      </c>
      <c r="E41" s="26" t="s">
        <v>42</v>
      </c>
      <c r="F41" s="26" t="s">
        <v>43</v>
      </c>
      <c r="G41" s="26">
        <v>19634</v>
      </c>
      <c r="H41" s="26">
        <v>12964134114</v>
      </c>
      <c r="I41" s="27" t="s">
        <v>44</v>
      </c>
      <c r="K41" s="22"/>
    </row>
    <row r="42" spans="2:11" x14ac:dyDescent="0.25">
      <c r="B42" s="26">
        <v>124142</v>
      </c>
      <c r="C42" s="26" t="s">
        <v>36</v>
      </c>
      <c r="D42" s="26" t="s">
        <v>37</v>
      </c>
      <c r="E42" s="26" t="s">
        <v>38</v>
      </c>
      <c r="F42" s="26" t="s">
        <v>30</v>
      </c>
      <c r="G42" s="26">
        <v>210843</v>
      </c>
      <c r="H42" s="26">
        <v>2497182472</v>
      </c>
      <c r="I42" s="27" t="s">
        <v>39</v>
      </c>
      <c r="K42" s="22"/>
    </row>
    <row r="43" spans="2:11" x14ac:dyDescent="0.25">
      <c r="B43" s="26">
        <v>12312</v>
      </c>
      <c r="C43" s="26" t="s">
        <v>32</v>
      </c>
      <c r="D43" s="26" t="s">
        <v>33</v>
      </c>
      <c r="E43" s="26" t="s">
        <v>34</v>
      </c>
      <c r="F43" s="26" t="s">
        <v>24</v>
      </c>
      <c r="G43" s="26">
        <v>12312</v>
      </c>
      <c r="H43" s="26">
        <v>21424214423</v>
      </c>
      <c r="I43" s="27" t="s">
        <v>35</v>
      </c>
      <c r="K43" s="22"/>
    </row>
    <row r="44" spans="2:11" x14ac:dyDescent="0.25">
      <c r="B44" s="26">
        <v>69696969</v>
      </c>
      <c r="C44" s="26" t="s">
        <v>27</v>
      </c>
      <c r="D44" s="26" t="s">
        <v>28</v>
      </c>
      <c r="E44" s="26" t="s">
        <v>29</v>
      </c>
      <c r="F44" s="26" t="s">
        <v>30</v>
      </c>
      <c r="G44" s="26">
        <v>12412</v>
      </c>
      <c r="H44" s="26">
        <v>44001295</v>
      </c>
      <c r="I44" s="27" t="s">
        <v>31</v>
      </c>
      <c r="K44" s="22"/>
    </row>
    <row r="45" spans="2:11" x14ac:dyDescent="0.25">
      <c r="B45" s="26">
        <v>135134</v>
      </c>
      <c r="C45" s="26" t="s">
        <v>21</v>
      </c>
      <c r="D45" s="26" t="s">
        <v>22</v>
      </c>
      <c r="E45" s="26" t="s">
        <v>23</v>
      </c>
      <c r="F45" s="26" t="s">
        <v>24</v>
      </c>
      <c r="G45" s="26">
        <v>1243</v>
      </c>
      <c r="H45" s="26">
        <v>29184123947</v>
      </c>
      <c r="I45" s="27" t="s">
        <v>25</v>
      </c>
      <c r="K45" s="22"/>
    </row>
    <row r="46" spans="2:11" x14ac:dyDescent="0.25">
      <c r="B46" s="9"/>
      <c r="C46" s="9"/>
      <c r="D46" s="9"/>
      <c r="E46" s="9"/>
      <c r="F46" s="9"/>
      <c r="G46" s="9"/>
      <c r="H46" s="9"/>
      <c r="I46" s="9"/>
      <c r="K46" s="22"/>
    </row>
    <row r="47" spans="2:11" x14ac:dyDescent="0.25">
      <c r="B47" s="9"/>
      <c r="C47" s="9"/>
      <c r="D47" s="9"/>
      <c r="E47" s="9"/>
      <c r="F47" s="9"/>
      <c r="G47" s="9"/>
      <c r="H47" s="9"/>
      <c r="I47" s="9"/>
      <c r="K47" s="22"/>
    </row>
    <row r="48" spans="2:11" x14ac:dyDescent="0.25">
      <c r="B48" s="9"/>
      <c r="C48" s="9"/>
      <c r="D48" s="9"/>
      <c r="E48" s="9"/>
      <c r="F48" s="9"/>
      <c r="G48" s="9"/>
      <c r="H48" s="9"/>
      <c r="I48" s="9"/>
      <c r="K48" s="22"/>
    </row>
    <row r="49" spans="2:11" x14ac:dyDescent="0.25">
      <c r="B49" s="9"/>
      <c r="C49" s="9"/>
      <c r="D49" s="9"/>
      <c r="E49" s="9"/>
      <c r="F49" s="9"/>
      <c r="G49" s="9"/>
      <c r="H49" s="9"/>
      <c r="I49" s="9"/>
      <c r="K49" s="22"/>
    </row>
    <row r="50" spans="2:11" x14ac:dyDescent="0.25">
      <c r="B50" s="9"/>
      <c r="C50" s="9"/>
      <c r="D50" s="9"/>
      <c r="E50" s="9"/>
      <c r="F50" s="9"/>
      <c r="G50" s="9"/>
      <c r="H50" s="9"/>
      <c r="I50" s="9"/>
    </row>
    <row r="51" spans="2:11" x14ac:dyDescent="0.25">
      <c r="B51" s="9"/>
      <c r="C51" s="9"/>
      <c r="D51" s="9"/>
      <c r="E51" s="9"/>
      <c r="F51" s="9"/>
      <c r="G51" s="9"/>
      <c r="H51" s="9"/>
      <c r="I51" s="9"/>
    </row>
    <row r="52" spans="2:11" x14ac:dyDescent="0.25">
      <c r="B52" s="9"/>
      <c r="C52" s="9"/>
      <c r="D52" s="9"/>
      <c r="E52" s="9"/>
      <c r="F52" s="9"/>
      <c r="G52" s="9"/>
      <c r="H52" s="9"/>
      <c r="I52" s="9"/>
    </row>
    <row r="53" spans="2:11" x14ac:dyDescent="0.25">
      <c r="B53" s="9"/>
      <c r="C53" s="9"/>
      <c r="D53" s="9"/>
      <c r="E53" s="9"/>
      <c r="F53" s="9"/>
      <c r="G53" s="9"/>
      <c r="H53" s="9"/>
      <c r="I53" s="9"/>
    </row>
    <row r="54" spans="2:11" x14ac:dyDescent="0.25">
      <c r="B54" s="9"/>
      <c r="C54" s="9"/>
      <c r="D54" s="9"/>
      <c r="E54" s="9"/>
      <c r="F54" s="9"/>
      <c r="G54" s="9"/>
      <c r="H54" s="9"/>
      <c r="I54" s="9"/>
    </row>
    <row r="55" spans="2:11" x14ac:dyDescent="0.25">
      <c r="B55" s="9"/>
      <c r="C55" s="9"/>
      <c r="D55" s="9"/>
      <c r="E55" s="9"/>
      <c r="F55" s="9"/>
      <c r="G55" s="9"/>
      <c r="H55" s="9"/>
      <c r="I55" s="9"/>
    </row>
    <row r="56" spans="2:11" x14ac:dyDescent="0.25">
      <c r="B56" s="9"/>
      <c r="C56" s="9"/>
      <c r="D56" s="9"/>
      <c r="E56" s="9"/>
      <c r="F56" s="9"/>
      <c r="G56" s="9"/>
      <c r="H56" s="9"/>
      <c r="I56" s="9"/>
    </row>
    <row r="57" spans="2:11" x14ac:dyDescent="0.25">
      <c r="B57" s="9"/>
      <c r="C57" s="9"/>
      <c r="D57" s="9"/>
      <c r="E57" s="9"/>
      <c r="F57" s="9"/>
      <c r="G57" s="9"/>
      <c r="H57" s="9"/>
      <c r="I57" s="9"/>
    </row>
    <row r="58" spans="2:11" x14ac:dyDescent="0.25">
      <c r="B58" s="9"/>
      <c r="C58" s="9"/>
      <c r="D58" s="9"/>
      <c r="E58" s="9"/>
      <c r="F58" s="9"/>
      <c r="G58" s="9"/>
      <c r="H58" s="9"/>
      <c r="I58" s="9"/>
    </row>
    <row r="59" spans="2:11" x14ac:dyDescent="0.25">
      <c r="B59" s="9"/>
      <c r="C59" s="9"/>
      <c r="D59" s="9"/>
      <c r="E59" s="9"/>
      <c r="F59" s="9"/>
      <c r="G59" s="9"/>
      <c r="H59" s="9"/>
      <c r="I59" s="9"/>
    </row>
    <row r="60" spans="2:11" x14ac:dyDescent="0.25">
      <c r="B60" s="9"/>
      <c r="C60" s="9"/>
      <c r="D60" s="9"/>
      <c r="E60" s="9"/>
      <c r="F60" s="9"/>
      <c r="G60" s="9"/>
      <c r="H60" s="9"/>
      <c r="I60" s="9"/>
    </row>
    <row r="61" spans="2:11" x14ac:dyDescent="0.25">
      <c r="B61" s="9"/>
      <c r="C61" s="9"/>
      <c r="D61" s="9"/>
      <c r="E61" s="9"/>
      <c r="F61" s="9"/>
      <c r="G61" s="9"/>
      <c r="H61" s="9"/>
      <c r="I61" s="9"/>
    </row>
    <row r="62" spans="2:11" x14ac:dyDescent="0.25">
      <c r="B62" s="9"/>
      <c r="C62" s="9"/>
      <c r="D62" s="9"/>
      <c r="E62" s="9"/>
      <c r="F62" s="9"/>
      <c r="G62" s="9"/>
      <c r="H62" s="9"/>
      <c r="I62" s="9"/>
    </row>
    <row r="63" spans="2:11" x14ac:dyDescent="0.25">
      <c r="B63" s="9"/>
      <c r="C63" s="9"/>
      <c r="D63" s="9"/>
      <c r="E63" s="9"/>
      <c r="F63" s="9"/>
      <c r="G63" s="9"/>
      <c r="H63" s="9"/>
      <c r="I63" s="9"/>
    </row>
    <row r="64" spans="2:11" x14ac:dyDescent="0.25">
      <c r="B64" s="9"/>
      <c r="C64" s="9"/>
      <c r="D64" s="9"/>
      <c r="E64" s="9"/>
      <c r="F64" s="9"/>
      <c r="G64" s="9"/>
      <c r="H64" s="9"/>
      <c r="I64" s="9"/>
    </row>
    <row r="65" spans="2:9" x14ac:dyDescent="0.25">
      <c r="B65" s="9"/>
      <c r="C65" s="9"/>
      <c r="D65" s="9"/>
      <c r="E65" s="9"/>
      <c r="F65" s="9"/>
      <c r="G65" s="9"/>
      <c r="H65" s="9"/>
      <c r="I65" s="9"/>
    </row>
    <row r="66" spans="2:9" x14ac:dyDescent="0.25">
      <c r="B66" s="9"/>
      <c r="C66" s="9"/>
      <c r="D66" s="9"/>
      <c r="E66" s="9"/>
      <c r="F66" s="9"/>
      <c r="G66" s="9"/>
      <c r="H66" s="9"/>
      <c r="I66" s="9"/>
    </row>
    <row r="67" spans="2:9" x14ac:dyDescent="0.25">
      <c r="B67" s="9"/>
      <c r="C67" s="9"/>
      <c r="D67" s="9"/>
      <c r="E67" s="9"/>
      <c r="F67" s="9"/>
      <c r="G67" s="9"/>
      <c r="H67" s="9"/>
      <c r="I67" s="9"/>
    </row>
    <row r="68" spans="2:9" x14ac:dyDescent="0.25">
      <c r="B68" s="9"/>
      <c r="C68" s="9"/>
      <c r="D68" s="9"/>
      <c r="E68" s="9"/>
      <c r="F68" s="9"/>
      <c r="G68" s="9"/>
      <c r="H68" s="9"/>
      <c r="I68" s="9"/>
    </row>
    <row r="69" spans="2:9" x14ac:dyDescent="0.25">
      <c r="B69" s="9"/>
      <c r="C69" s="9"/>
      <c r="D69" s="9"/>
      <c r="E69" s="9"/>
      <c r="F69" s="9"/>
      <c r="G69" s="9"/>
      <c r="H69" s="9"/>
      <c r="I69" s="9"/>
    </row>
    <row r="70" spans="2:9" x14ac:dyDescent="0.25">
      <c r="B70" s="9"/>
      <c r="C70" s="9"/>
      <c r="D70" s="9"/>
      <c r="E70" s="9"/>
      <c r="F70" s="9"/>
      <c r="G70" s="9"/>
      <c r="H70" s="9"/>
      <c r="I70" s="9"/>
    </row>
    <row r="71" spans="2:9" x14ac:dyDescent="0.25">
      <c r="B71" s="9"/>
      <c r="C71" s="9"/>
      <c r="D71" s="9"/>
      <c r="E71" s="9"/>
      <c r="F71" s="9"/>
      <c r="G71" s="9"/>
      <c r="H71" s="9"/>
      <c r="I71" s="9"/>
    </row>
    <row r="72" spans="2:9" x14ac:dyDescent="0.25">
      <c r="B72" s="9"/>
      <c r="C72" s="9"/>
      <c r="D72" s="9"/>
      <c r="E72" s="9"/>
      <c r="F72" s="9"/>
      <c r="G72" s="9"/>
      <c r="H72" s="9"/>
      <c r="I72" s="9"/>
    </row>
    <row r="73" spans="2:9" x14ac:dyDescent="0.25">
      <c r="B73" s="9"/>
      <c r="C73" s="9"/>
      <c r="D73" s="9"/>
      <c r="E73" s="9"/>
      <c r="F73" s="9"/>
      <c r="G73" s="9"/>
      <c r="H73" s="9"/>
      <c r="I73" s="9"/>
    </row>
    <row r="74" spans="2:9" x14ac:dyDescent="0.25">
      <c r="B74" s="9"/>
      <c r="C74" s="9"/>
      <c r="D74" s="9"/>
      <c r="E74" s="9"/>
      <c r="F74" s="9"/>
      <c r="G74" s="9"/>
      <c r="H74" s="9"/>
      <c r="I74" s="9"/>
    </row>
    <row r="75" spans="2:9" x14ac:dyDescent="0.25">
      <c r="B75" s="9"/>
      <c r="C75" s="9"/>
      <c r="D75" s="9"/>
      <c r="E75" s="9"/>
      <c r="F75" s="9"/>
      <c r="G75" s="9"/>
      <c r="H75" s="9"/>
      <c r="I75" s="9"/>
    </row>
    <row r="76" spans="2:9" x14ac:dyDescent="0.25">
      <c r="B76" s="9"/>
      <c r="C76" s="9"/>
      <c r="D76" s="9"/>
      <c r="E76" s="9"/>
      <c r="F76" s="9"/>
      <c r="G76" s="9"/>
      <c r="H76" s="9"/>
      <c r="I76" s="9"/>
    </row>
    <row r="77" spans="2:9" x14ac:dyDescent="0.25">
      <c r="B77" s="9"/>
      <c r="C77" s="9"/>
      <c r="D77" s="9"/>
      <c r="E77" s="9"/>
      <c r="F77" s="9"/>
      <c r="G77" s="9"/>
      <c r="H77" s="9"/>
      <c r="I77" s="9"/>
    </row>
    <row r="78" spans="2:9" x14ac:dyDescent="0.25">
      <c r="B78" s="9"/>
      <c r="C78" s="9"/>
      <c r="D78" s="9"/>
      <c r="E78" s="9"/>
      <c r="F78" s="9"/>
      <c r="G78" s="9"/>
      <c r="H78" s="9"/>
      <c r="I78" s="9"/>
    </row>
    <row r="79" spans="2:9" x14ac:dyDescent="0.25">
      <c r="B79" s="9"/>
      <c r="C79" s="9"/>
      <c r="D79" s="9"/>
      <c r="E79" s="9"/>
      <c r="F79" s="9"/>
      <c r="G79" s="9"/>
      <c r="H79" s="9"/>
      <c r="I79" s="9"/>
    </row>
    <row r="80" spans="2:9" x14ac:dyDescent="0.25">
      <c r="B80" s="9"/>
      <c r="C80" s="9"/>
      <c r="D80" s="9"/>
      <c r="E80" s="9"/>
      <c r="F80" s="9"/>
      <c r="G80" s="9"/>
      <c r="H80" s="9"/>
      <c r="I80" s="9"/>
    </row>
    <row r="81" spans="2:9" x14ac:dyDescent="0.25">
      <c r="B81" s="9"/>
      <c r="C81" s="9"/>
      <c r="D81" s="9"/>
      <c r="E81" s="9"/>
      <c r="F81" s="9"/>
      <c r="G81" s="9"/>
      <c r="H81" s="9"/>
      <c r="I81" s="9"/>
    </row>
    <row r="82" spans="2:9" x14ac:dyDescent="0.25">
      <c r="B82" s="9"/>
      <c r="C82" s="9"/>
      <c r="D82" s="9"/>
      <c r="E82" s="9"/>
      <c r="F82" s="9"/>
      <c r="G82" s="9"/>
      <c r="H82" s="9"/>
      <c r="I82" s="9"/>
    </row>
    <row r="83" spans="2:9" x14ac:dyDescent="0.25">
      <c r="B83" s="9"/>
      <c r="C83" s="9"/>
      <c r="D83" s="9"/>
      <c r="E83" s="9"/>
      <c r="F83" s="9"/>
      <c r="G83" s="9"/>
      <c r="H83" s="9"/>
      <c r="I83" s="9"/>
    </row>
    <row r="84" spans="2:9" x14ac:dyDescent="0.25">
      <c r="B84" s="9"/>
      <c r="C84" s="9"/>
      <c r="D84" s="9"/>
      <c r="E84" s="9"/>
      <c r="F84" s="9"/>
      <c r="G84" s="9"/>
      <c r="H84" s="9"/>
      <c r="I84" s="9"/>
    </row>
    <row r="85" spans="2:9" x14ac:dyDescent="0.25">
      <c r="B85" s="9"/>
      <c r="C85" s="9"/>
      <c r="D85" s="9"/>
      <c r="E85" s="9"/>
      <c r="F85" s="9"/>
      <c r="G85" s="9"/>
      <c r="H85" s="9"/>
      <c r="I85" s="9"/>
    </row>
    <row r="86" spans="2:9" x14ac:dyDescent="0.25">
      <c r="B86" s="9"/>
      <c r="C86" s="9"/>
      <c r="D86" s="9"/>
      <c r="E86" s="9"/>
      <c r="F86" s="9"/>
      <c r="G86" s="9"/>
      <c r="H86" s="9"/>
      <c r="I86" s="9"/>
    </row>
    <row r="87" spans="2:9" x14ac:dyDescent="0.25">
      <c r="B87" s="9"/>
      <c r="C87" s="9"/>
      <c r="D87" s="9"/>
      <c r="E87" s="9"/>
      <c r="F87" s="9"/>
      <c r="G87" s="9"/>
      <c r="H87" s="9"/>
      <c r="I87" s="9"/>
    </row>
    <row r="88" spans="2:9" x14ac:dyDescent="0.25">
      <c r="B88" s="9"/>
      <c r="C88" s="9"/>
      <c r="D88" s="9"/>
      <c r="E88" s="9"/>
      <c r="F88" s="9"/>
      <c r="G88" s="9"/>
      <c r="H88" s="9"/>
      <c r="I88" s="9"/>
    </row>
    <row r="89" spans="2:9" x14ac:dyDescent="0.25">
      <c r="B89" s="9"/>
      <c r="C89" s="9"/>
      <c r="D89" s="9"/>
      <c r="E89" s="9"/>
      <c r="F89" s="9"/>
      <c r="G89" s="9"/>
      <c r="H89" s="9"/>
      <c r="I89" s="9"/>
    </row>
    <row r="90" spans="2:9" x14ac:dyDescent="0.25">
      <c r="B90" s="9"/>
      <c r="C90" s="9"/>
      <c r="D90" s="9"/>
      <c r="E90" s="9"/>
      <c r="F90" s="9"/>
      <c r="G90" s="9"/>
      <c r="H90" s="9"/>
      <c r="I90" s="9"/>
    </row>
    <row r="91" spans="2:9" x14ac:dyDescent="0.25">
      <c r="B91" s="9"/>
      <c r="C91" s="9"/>
      <c r="D91" s="9"/>
      <c r="E91" s="9"/>
      <c r="F91" s="9"/>
      <c r="G91" s="9"/>
      <c r="H91" s="9"/>
      <c r="I91" s="9"/>
    </row>
    <row r="92" spans="2:9" x14ac:dyDescent="0.25">
      <c r="B92" s="9"/>
      <c r="C92" s="9"/>
      <c r="D92" s="9"/>
      <c r="E92" s="9"/>
      <c r="F92" s="9"/>
      <c r="G92" s="9"/>
      <c r="H92" s="9"/>
      <c r="I92" s="9"/>
    </row>
    <row r="93" spans="2:9" x14ac:dyDescent="0.25">
      <c r="B93" s="9"/>
      <c r="C93" s="9"/>
      <c r="D93" s="9"/>
      <c r="E93" s="9"/>
      <c r="F93" s="9"/>
      <c r="G93" s="9"/>
      <c r="H93" s="9"/>
      <c r="I93" s="9"/>
    </row>
    <row r="94" spans="2:9" x14ac:dyDescent="0.25">
      <c r="B94" s="9"/>
      <c r="C94" s="9"/>
      <c r="D94" s="9"/>
      <c r="E94" s="9"/>
      <c r="F94" s="9"/>
      <c r="G94" s="9"/>
      <c r="H94" s="9"/>
      <c r="I94" s="9"/>
    </row>
    <row r="95" spans="2:9" x14ac:dyDescent="0.25">
      <c r="B95" s="9"/>
      <c r="C95" s="9"/>
      <c r="D95" s="9"/>
      <c r="E95" s="9"/>
      <c r="F95" s="9"/>
      <c r="G95" s="9"/>
      <c r="H95" s="9"/>
      <c r="I95" s="9"/>
    </row>
    <row r="96" spans="2:9" x14ac:dyDescent="0.25">
      <c r="B96" s="9"/>
      <c r="C96" s="9"/>
      <c r="D96" s="9"/>
      <c r="E96" s="9"/>
      <c r="F96" s="9"/>
      <c r="G96" s="9"/>
      <c r="H96" s="9"/>
      <c r="I96" s="9"/>
    </row>
    <row r="97" spans="2:9" x14ac:dyDescent="0.25">
      <c r="B97" s="9"/>
      <c r="C97" s="9"/>
      <c r="D97" s="9"/>
      <c r="E97" s="9"/>
      <c r="F97" s="9"/>
      <c r="G97" s="9"/>
      <c r="H97" s="9"/>
      <c r="I97" s="9"/>
    </row>
    <row r="98" spans="2:9" x14ac:dyDescent="0.25">
      <c r="B98" s="9"/>
      <c r="C98" s="9"/>
      <c r="D98" s="9"/>
      <c r="E98" s="9"/>
      <c r="F98" s="9"/>
      <c r="G98" s="9"/>
      <c r="H98" s="9"/>
      <c r="I98" s="9"/>
    </row>
    <row r="99" spans="2:9" x14ac:dyDescent="0.25">
      <c r="B99" s="9"/>
      <c r="C99" s="9"/>
      <c r="D99" s="9"/>
      <c r="E99" s="9"/>
      <c r="F99" s="9"/>
      <c r="G99" s="9"/>
      <c r="H99" s="9"/>
      <c r="I99" s="9"/>
    </row>
    <row r="100" spans="2:9" x14ac:dyDescent="0.25">
      <c r="B100" s="9"/>
      <c r="C100" s="9"/>
      <c r="D100" s="9"/>
      <c r="E100" s="9"/>
      <c r="F100" s="9"/>
      <c r="G100" s="9"/>
      <c r="H100" s="9"/>
      <c r="I100" s="9"/>
    </row>
    <row r="101" spans="2:9" x14ac:dyDescent="0.25">
      <c r="B101" s="9"/>
      <c r="C101" s="9"/>
      <c r="D101" s="9"/>
      <c r="E101" s="9"/>
      <c r="F101" s="9"/>
      <c r="G101" s="9"/>
      <c r="H101" s="9"/>
      <c r="I101" s="9"/>
    </row>
    <row r="102" spans="2:9" x14ac:dyDescent="0.25">
      <c r="B102" s="9"/>
      <c r="C102" s="9"/>
      <c r="D102" s="9"/>
      <c r="E102" s="9"/>
      <c r="F102" s="9"/>
      <c r="G102" s="9"/>
      <c r="H102" s="9"/>
      <c r="I102" s="9"/>
    </row>
    <row r="103" spans="2:9" x14ac:dyDescent="0.25">
      <c r="B103" s="9"/>
      <c r="C103" s="9"/>
      <c r="D103" s="9"/>
      <c r="E103" s="9"/>
      <c r="F103" s="9"/>
      <c r="G103" s="9"/>
      <c r="H103" s="9"/>
      <c r="I103" s="9"/>
    </row>
    <row r="104" spans="2:9" x14ac:dyDescent="0.25">
      <c r="B104" s="9"/>
      <c r="C104" s="9"/>
      <c r="D104" s="9"/>
      <c r="E104" s="9"/>
      <c r="F104" s="9"/>
      <c r="G104" s="9"/>
      <c r="H104" s="9"/>
      <c r="I104" s="9"/>
    </row>
    <row r="105" spans="2:9" x14ac:dyDescent="0.25">
      <c r="B105" s="9"/>
      <c r="C105" s="9"/>
      <c r="D105" s="9"/>
      <c r="E105" s="9"/>
      <c r="F105" s="9"/>
      <c r="G105" s="9"/>
      <c r="H105" s="9"/>
      <c r="I105" s="9"/>
    </row>
    <row r="106" spans="2:9" x14ac:dyDescent="0.25">
      <c r="B106" s="9"/>
      <c r="C106" s="9"/>
      <c r="D106" s="9"/>
      <c r="E106" s="9"/>
      <c r="F106" s="9"/>
      <c r="G106" s="9"/>
      <c r="H106" s="9"/>
      <c r="I106" s="9"/>
    </row>
    <row r="107" spans="2:9" x14ac:dyDescent="0.25">
      <c r="B107" s="9"/>
      <c r="C107" s="9"/>
      <c r="D107" s="9"/>
      <c r="E107" s="9"/>
      <c r="F107" s="9"/>
      <c r="G107" s="9"/>
      <c r="H107" s="9"/>
      <c r="I107" s="9"/>
    </row>
    <row r="108" spans="2:9" x14ac:dyDescent="0.25">
      <c r="B108" s="9"/>
      <c r="C108" s="9"/>
      <c r="D108" s="9"/>
      <c r="E108" s="9"/>
      <c r="F108" s="9"/>
      <c r="G108" s="9"/>
      <c r="H108" s="9"/>
      <c r="I108" s="9"/>
    </row>
    <row r="109" spans="2:9" x14ac:dyDescent="0.25">
      <c r="B109" s="9"/>
      <c r="C109" s="9"/>
      <c r="D109" s="9"/>
      <c r="E109" s="9"/>
      <c r="F109" s="9"/>
      <c r="G109" s="9"/>
      <c r="H109" s="9"/>
      <c r="I109" s="9"/>
    </row>
    <row r="110" spans="2:9" x14ac:dyDescent="0.25">
      <c r="B110" s="9"/>
      <c r="C110" s="9"/>
      <c r="D110" s="9"/>
      <c r="E110" s="9"/>
      <c r="F110" s="9"/>
      <c r="G110" s="9"/>
      <c r="H110" s="9"/>
      <c r="I110" s="9"/>
    </row>
    <row r="111" spans="2:9" x14ac:dyDescent="0.25">
      <c r="B111" s="9"/>
      <c r="C111" s="9"/>
      <c r="D111" s="9"/>
      <c r="E111" s="9"/>
      <c r="F111" s="9"/>
      <c r="G111" s="9"/>
      <c r="H111" s="9"/>
      <c r="I111" s="9"/>
    </row>
    <row r="112" spans="2:9" x14ac:dyDescent="0.25">
      <c r="B112" s="9"/>
      <c r="C112" s="9"/>
      <c r="D112" s="9"/>
      <c r="E112" s="9"/>
      <c r="F112" s="9"/>
      <c r="G112" s="9"/>
      <c r="H112" s="9"/>
      <c r="I112" s="9"/>
    </row>
    <row r="113" spans="2:9" x14ac:dyDescent="0.25">
      <c r="B113" s="9"/>
      <c r="C113" s="9"/>
      <c r="D113" s="9"/>
      <c r="E113" s="9"/>
      <c r="F113" s="9"/>
      <c r="G113" s="9"/>
      <c r="H113" s="9"/>
      <c r="I113" s="9"/>
    </row>
    <row r="114" spans="2:9" x14ac:dyDescent="0.25">
      <c r="B114" s="9"/>
      <c r="C114" s="9"/>
      <c r="D114" s="9"/>
      <c r="E114" s="9"/>
      <c r="F114" s="9"/>
      <c r="G114" s="9"/>
      <c r="H114" s="9"/>
      <c r="I114" s="9"/>
    </row>
    <row r="115" spans="2:9" x14ac:dyDescent="0.25">
      <c r="B115" s="9"/>
      <c r="C115" s="9"/>
      <c r="D115" s="9"/>
      <c r="E115" s="9"/>
      <c r="F115" s="9"/>
      <c r="G115" s="9"/>
      <c r="H115" s="9"/>
      <c r="I115" s="9"/>
    </row>
    <row r="116" spans="2:9" x14ac:dyDescent="0.25">
      <c r="B116" s="9"/>
      <c r="C116" s="9"/>
      <c r="D116" s="9"/>
      <c r="E116" s="9"/>
      <c r="F116" s="9"/>
      <c r="G116" s="9"/>
      <c r="H116" s="9"/>
      <c r="I116" s="9"/>
    </row>
    <row r="117" spans="2:9" x14ac:dyDescent="0.25">
      <c r="B117" s="9"/>
      <c r="C117" s="9"/>
      <c r="D117" s="9"/>
      <c r="E117" s="9"/>
      <c r="F117" s="9"/>
      <c r="G117" s="9"/>
      <c r="H117" s="9"/>
      <c r="I117" s="9"/>
    </row>
    <row r="118" spans="2:9" x14ac:dyDescent="0.25">
      <c r="B118" s="9"/>
      <c r="C118" s="9"/>
      <c r="D118" s="9"/>
      <c r="E118" s="9"/>
      <c r="F118" s="9"/>
      <c r="G118" s="9"/>
      <c r="H118" s="9"/>
      <c r="I118" s="9"/>
    </row>
    <row r="119" spans="2:9" x14ac:dyDescent="0.25">
      <c r="B119" s="9"/>
      <c r="C119" s="9"/>
      <c r="D119" s="9"/>
      <c r="E119" s="9"/>
      <c r="F119" s="9"/>
      <c r="G119" s="9"/>
      <c r="H119" s="9"/>
      <c r="I119" s="9"/>
    </row>
    <row r="120" spans="2:9" x14ac:dyDescent="0.25">
      <c r="B120" s="9"/>
      <c r="C120" s="9"/>
      <c r="D120" s="9"/>
      <c r="E120" s="9"/>
      <c r="F120" s="9"/>
      <c r="G120" s="9"/>
      <c r="H120" s="9"/>
      <c r="I120" s="9"/>
    </row>
    <row r="121" spans="2:9" x14ac:dyDescent="0.25">
      <c r="B121" s="9"/>
      <c r="C121" s="9"/>
      <c r="D121" s="9"/>
      <c r="E121" s="9"/>
      <c r="F121" s="9"/>
      <c r="G121" s="9"/>
      <c r="H121" s="9"/>
      <c r="I121" s="9"/>
    </row>
    <row r="122" spans="2:9" x14ac:dyDescent="0.25">
      <c r="B122" s="9"/>
      <c r="C122" s="9"/>
      <c r="D122" s="9"/>
      <c r="E122" s="9"/>
      <c r="F122" s="9"/>
      <c r="G122" s="9"/>
      <c r="H122" s="9"/>
      <c r="I122" s="9"/>
    </row>
    <row r="123" spans="2:9" x14ac:dyDescent="0.25">
      <c r="B123" s="9"/>
      <c r="C123" s="9"/>
      <c r="D123" s="9"/>
      <c r="E123" s="9"/>
      <c r="F123" s="9"/>
      <c r="G123" s="9"/>
      <c r="H123" s="9"/>
      <c r="I123" s="9"/>
    </row>
    <row r="124" spans="2:9" x14ac:dyDescent="0.25">
      <c r="B124" s="9"/>
      <c r="C124" s="9"/>
      <c r="D124" s="9"/>
      <c r="E124" s="9"/>
      <c r="F124" s="9"/>
      <c r="G124" s="9"/>
      <c r="H124" s="9"/>
      <c r="I124" s="9"/>
    </row>
    <row r="125" spans="2:9" x14ac:dyDescent="0.25">
      <c r="B125" s="9"/>
      <c r="C125" s="9"/>
      <c r="D125" s="9"/>
      <c r="E125" s="9"/>
      <c r="F125" s="9"/>
      <c r="G125" s="9"/>
      <c r="H125" s="9"/>
      <c r="I125" s="9"/>
    </row>
    <row r="126" spans="2:9" x14ac:dyDescent="0.25">
      <c r="B126" s="9"/>
      <c r="C126" s="9"/>
      <c r="D126" s="9"/>
      <c r="E126" s="9"/>
      <c r="F126" s="9"/>
      <c r="G126" s="9"/>
      <c r="H126" s="9"/>
      <c r="I126" s="9"/>
    </row>
    <row r="127" spans="2:9" x14ac:dyDescent="0.25">
      <c r="B127" s="9"/>
      <c r="C127" s="9"/>
      <c r="D127" s="9"/>
      <c r="E127" s="9"/>
      <c r="F127" s="9"/>
      <c r="G127" s="9"/>
      <c r="H127" s="9"/>
      <c r="I127" s="9"/>
    </row>
    <row r="128" spans="2:9" x14ac:dyDescent="0.25">
      <c r="B128" s="9"/>
      <c r="C128" s="9"/>
      <c r="D128" s="9"/>
      <c r="E128" s="9"/>
      <c r="F128" s="9"/>
      <c r="G128" s="9"/>
      <c r="H128" s="9"/>
      <c r="I128" s="9"/>
    </row>
    <row r="129" spans="2:9" x14ac:dyDescent="0.25">
      <c r="B129" s="9"/>
      <c r="C129" s="9"/>
      <c r="D129" s="9"/>
      <c r="E129" s="9"/>
      <c r="F129" s="9"/>
      <c r="G129" s="9"/>
      <c r="H129" s="9"/>
      <c r="I129" s="9"/>
    </row>
    <row r="130" spans="2:9" x14ac:dyDescent="0.25">
      <c r="B130" s="9"/>
      <c r="C130" s="9"/>
      <c r="D130" s="9"/>
      <c r="E130" s="9"/>
      <c r="F130" s="9"/>
      <c r="G130" s="9"/>
      <c r="H130" s="9"/>
      <c r="I130" s="9"/>
    </row>
    <row r="131" spans="2:9" x14ac:dyDescent="0.25">
      <c r="B131" s="9"/>
      <c r="C131" s="9"/>
      <c r="D131" s="9"/>
      <c r="E131" s="9"/>
      <c r="F131" s="9"/>
      <c r="G131" s="9"/>
      <c r="H131" s="9"/>
      <c r="I131" s="9"/>
    </row>
    <row r="132" spans="2:9" x14ac:dyDescent="0.25">
      <c r="B132" s="9"/>
      <c r="C132" s="9"/>
      <c r="D132" s="9"/>
      <c r="E132" s="9"/>
      <c r="F132" s="9"/>
      <c r="G132" s="9"/>
      <c r="H132" s="9"/>
      <c r="I132" s="9"/>
    </row>
    <row r="133" spans="2:9" x14ac:dyDescent="0.25">
      <c r="B133" s="9"/>
      <c r="C133" s="9"/>
      <c r="D133" s="9"/>
      <c r="E133" s="9"/>
      <c r="F133" s="9"/>
      <c r="G133" s="9"/>
      <c r="H133" s="9"/>
      <c r="I133" s="9"/>
    </row>
    <row r="134" spans="2:9" x14ac:dyDescent="0.25">
      <c r="B134" s="9"/>
      <c r="C134" s="9"/>
      <c r="D134" s="9"/>
      <c r="E134" s="9"/>
      <c r="F134" s="9"/>
      <c r="G134" s="9"/>
      <c r="H134" s="9"/>
      <c r="I134" s="9"/>
    </row>
    <row r="135" spans="2:9" x14ac:dyDescent="0.25">
      <c r="B135" s="9"/>
      <c r="C135" s="9"/>
      <c r="D135" s="9"/>
      <c r="E135" s="9"/>
      <c r="F135" s="9"/>
      <c r="G135" s="9"/>
      <c r="H135" s="9"/>
      <c r="I135" s="9"/>
    </row>
    <row r="136" spans="2:9" x14ac:dyDescent="0.25">
      <c r="B136" s="9"/>
      <c r="C136" s="9"/>
      <c r="D136" s="9"/>
      <c r="E136" s="9"/>
      <c r="F136" s="9"/>
      <c r="G136" s="9"/>
      <c r="H136" s="9"/>
      <c r="I136" s="9"/>
    </row>
    <row r="137" spans="2:9" x14ac:dyDescent="0.25">
      <c r="B137" s="9"/>
      <c r="C137" s="9"/>
      <c r="D137" s="9"/>
      <c r="E137" s="9"/>
      <c r="F137" s="9"/>
      <c r="G137" s="9"/>
      <c r="H137" s="9"/>
      <c r="I137" s="9"/>
    </row>
    <row r="138" spans="2:9" x14ac:dyDescent="0.25">
      <c r="B138" s="9"/>
      <c r="C138" s="9"/>
      <c r="D138" s="9"/>
      <c r="E138" s="9"/>
      <c r="F138" s="9"/>
      <c r="G138" s="9"/>
      <c r="H138" s="9"/>
      <c r="I138" s="9"/>
    </row>
    <row r="139" spans="2:9" x14ac:dyDescent="0.25">
      <c r="B139" s="9"/>
      <c r="C139" s="9"/>
      <c r="D139" s="9"/>
      <c r="E139" s="9"/>
      <c r="F139" s="9"/>
      <c r="G139" s="9"/>
      <c r="H139" s="9"/>
      <c r="I139" s="9"/>
    </row>
    <row r="140" spans="2:9" x14ac:dyDescent="0.25">
      <c r="B140" s="9"/>
      <c r="C140" s="9"/>
      <c r="D140" s="9"/>
      <c r="E140" s="9"/>
      <c r="F140" s="9"/>
      <c r="G140" s="9"/>
      <c r="H140" s="9"/>
      <c r="I140" s="9"/>
    </row>
    <row r="141" spans="2:9" x14ac:dyDescent="0.25">
      <c r="B141" s="9"/>
      <c r="C141" s="9"/>
      <c r="D141" s="9"/>
      <c r="E141" s="9"/>
      <c r="F141" s="9"/>
      <c r="G141" s="9"/>
      <c r="H141" s="9"/>
      <c r="I141" s="9"/>
    </row>
    <row r="142" spans="2:9" x14ac:dyDescent="0.25">
      <c r="B142" s="9"/>
      <c r="C142" s="9"/>
      <c r="D142" s="9"/>
      <c r="E142" s="9"/>
      <c r="F142" s="9"/>
      <c r="G142" s="9"/>
      <c r="H142" s="9"/>
      <c r="I142" s="9"/>
    </row>
    <row r="143" spans="2:9" x14ac:dyDescent="0.25">
      <c r="B143" s="9"/>
      <c r="C143" s="9"/>
      <c r="D143" s="9"/>
      <c r="E143" s="9"/>
      <c r="F143" s="9"/>
      <c r="G143" s="9"/>
      <c r="H143" s="9"/>
      <c r="I143" s="9"/>
    </row>
    <row r="144" spans="2:9" x14ac:dyDescent="0.25">
      <c r="B144" s="9"/>
      <c r="C144" s="9"/>
      <c r="D144" s="9"/>
      <c r="E144" s="9"/>
      <c r="F144" s="9"/>
      <c r="G144" s="9"/>
      <c r="H144" s="9"/>
      <c r="I144" s="9"/>
    </row>
    <row r="145" spans="2:9" x14ac:dyDescent="0.25">
      <c r="B145" s="9"/>
      <c r="C145" s="9"/>
      <c r="D145" s="9"/>
      <c r="E145" s="9"/>
      <c r="F145" s="9"/>
      <c r="G145" s="9"/>
      <c r="H145" s="9"/>
      <c r="I145" s="9"/>
    </row>
    <row r="146" spans="2:9" x14ac:dyDescent="0.25">
      <c r="B146" s="9"/>
      <c r="C146" s="9"/>
      <c r="D146" s="9"/>
      <c r="E146" s="9"/>
      <c r="F146" s="9"/>
      <c r="G146" s="9"/>
      <c r="H146" s="9"/>
      <c r="I146" s="9"/>
    </row>
    <row r="147" spans="2:9" x14ac:dyDescent="0.25">
      <c r="B147" s="9"/>
      <c r="C147" s="9"/>
      <c r="D147" s="9"/>
      <c r="E147" s="9"/>
      <c r="F147" s="9"/>
      <c r="G147" s="9"/>
      <c r="H147" s="9"/>
      <c r="I147" s="9"/>
    </row>
    <row r="148" spans="2:9" x14ac:dyDescent="0.25">
      <c r="B148" s="9"/>
      <c r="C148" s="9"/>
      <c r="D148" s="9"/>
      <c r="E148" s="9"/>
      <c r="F148" s="9"/>
      <c r="G148" s="9"/>
      <c r="H148" s="9"/>
      <c r="I148" s="9"/>
    </row>
    <row r="149" spans="2:9" x14ac:dyDescent="0.25">
      <c r="B149" s="9"/>
      <c r="C149" s="9"/>
      <c r="D149" s="9"/>
      <c r="E149" s="9"/>
      <c r="F149" s="9"/>
      <c r="G149" s="9"/>
      <c r="H149" s="9"/>
      <c r="I149" s="9"/>
    </row>
    <row r="150" spans="2:9" x14ac:dyDescent="0.25">
      <c r="B150" s="9"/>
      <c r="C150" s="9"/>
      <c r="D150" s="9"/>
      <c r="E150" s="9"/>
      <c r="F150" s="9"/>
      <c r="G150" s="9"/>
      <c r="H150" s="9"/>
      <c r="I150" s="9"/>
    </row>
    <row r="151" spans="2:9" x14ac:dyDescent="0.25">
      <c r="B151" s="9"/>
      <c r="C151" s="9"/>
      <c r="D151" s="9"/>
      <c r="E151" s="9"/>
      <c r="F151" s="9"/>
      <c r="G151" s="9"/>
      <c r="H151" s="9"/>
      <c r="I151" s="9"/>
    </row>
    <row r="152" spans="2:9" x14ac:dyDescent="0.25">
      <c r="B152" s="9"/>
      <c r="C152" s="9"/>
      <c r="D152" s="9"/>
      <c r="E152" s="9"/>
      <c r="F152" s="9"/>
      <c r="G152" s="9"/>
      <c r="H152" s="9"/>
      <c r="I152" s="9"/>
    </row>
    <row r="153" spans="2:9" x14ac:dyDescent="0.25">
      <c r="B153" s="9"/>
      <c r="C153" s="9"/>
      <c r="D153" s="9"/>
      <c r="E153" s="9"/>
      <c r="F153" s="9"/>
      <c r="G153" s="9"/>
      <c r="H153" s="9"/>
      <c r="I153" s="9"/>
    </row>
    <row r="154" spans="2:9" x14ac:dyDescent="0.25">
      <c r="B154" s="9"/>
      <c r="C154" s="9"/>
      <c r="D154" s="9"/>
      <c r="E154" s="9"/>
      <c r="F154" s="9"/>
      <c r="G154" s="9"/>
      <c r="H154" s="9"/>
      <c r="I154" s="9"/>
    </row>
    <row r="155" spans="2:9" x14ac:dyDescent="0.25">
      <c r="B155" s="9"/>
      <c r="C155" s="9"/>
      <c r="D155" s="9"/>
      <c r="E155" s="9"/>
      <c r="F155" s="9"/>
      <c r="G155" s="9"/>
      <c r="H155" s="9"/>
      <c r="I155" s="9"/>
    </row>
    <row r="156" spans="2:9" x14ac:dyDescent="0.25">
      <c r="B156" s="9"/>
      <c r="C156" s="9"/>
      <c r="D156" s="9"/>
      <c r="E156" s="9"/>
      <c r="F156" s="9"/>
      <c r="G156" s="9"/>
      <c r="H156" s="9"/>
      <c r="I156" s="9"/>
    </row>
    <row r="157" spans="2:9" x14ac:dyDescent="0.25">
      <c r="B157" s="9"/>
      <c r="C157" s="9"/>
      <c r="D157" s="9"/>
      <c r="E157" s="9"/>
      <c r="F157" s="9"/>
      <c r="G157" s="9"/>
      <c r="H157" s="9"/>
      <c r="I157" s="9"/>
    </row>
    <row r="158" spans="2:9" x14ac:dyDescent="0.25">
      <c r="B158" s="9"/>
      <c r="C158" s="9"/>
      <c r="D158" s="9"/>
      <c r="E158" s="9"/>
      <c r="F158" s="9"/>
      <c r="G158" s="9"/>
      <c r="H158" s="9"/>
      <c r="I158" s="9"/>
    </row>
    <row r="159" spans="2:9" x14ac:dyDescent="0.25">
      <c r="B159" s="9"/>
      <c r="C159" s="9"/>
      <c r="D159" s="9"/>
      <c r="E159" s="9"/>
      <c r="F159" s="9"/>
      <c r="G159" s="9"/>
      <c r="H159" s="9"/>
      <c r="I159" s="9"/>
    </row>
    <row r="160" spans="2:9" x14ac:dyDescent="0.25">
      <c r="B160" s="9"/>
      <c r="C160" s="9"/>
      <c r="D160" s="9"/>
      <c r="E160" s="9"/>
      <c r="F160" s="9"/>
      <c r="G160" s="9"/>
      <c r="H160" s="9"/>
      <c r="I160" s="9"/>
    </row>
    <row r="161" spans="2:9" x14ac:dyDescent="0.25">
      <c r="B161" s="9"/>
      <c r="C161" s="9"/>
      <c r="D161" s="9"/>
      <c r="E161" s="9"/>
      <c r="F161" s="9"/>
      <c r="G161" s="9"/>
      <c r="H161" s="9"/>
      <c r="I161" s="9"/>
    </row>
    <row r="162" spans="2:9" x14ac:dyDescent="0.25">
      <c r="B162" s="9"/>
      <c r="C162" s="9"/>
      <c r="D162" s="9"/>
      <c r="E162" s="9"/>
      <c r="F162" s="9"/>
      <c r="G162" s="9"/>
      <c r="H162" s="9"/>
      <c r="I162" s="9"/>
    </row>
    <row r="163" spans="2:9" x14ac:dyDescent="0.25">
      <c r="B163" s="9"/>
      <c r="C163" s="9"/>
      <c r="D163" s="9"/>
      <c r="E163" s="9"/>
      <c r="F163" s="9"/>
      <c r="G163" s="9"/>
      <c r="H163" s="9"/>
      <c r="I163" s="9"/>
    </row>
    <row r="164" spans="2:9" x14ac:dyDescent="0.25">
      <c r="B164" s="9"/>
      <c r="C164" s="9"/>
      <c r="D164" s="9"/>
      <c r="E164" s="9"/>
      <c r="F164" s="9"/>
      <c r="G164" s="9"/>
      <c r="H164" s="9"/>
      <c r="I164" s="9"/>
    </row>
    <row r="165" spans="2:9" x14ac:dyDescent="0.25">
      <c r="B165" s="9"/>
      <c r="C165" s="9"/>
      <c r="D165" s="9"/>
      <c r="E165" s="9"/>
      <c r="F165" s="9"/>
      <c r="G165" s="9"/>
      <c r="H165" s="9"/>
      <c r="I165" s="9"/>
    </row>
    <row r="166" spans="2:9" x14ac:dyDescent="0.25">
      <c r="B166" s="9"/>
      <c r="C166" s="9"/>
      <c r="D166" s="9"/>
      <c r="E166" s="9"/>
      <c r="F166" s="9"/>
      <c r="G166" s="9"/>
      <c r="H166" s="9"/>
      <c r="I166" s="9"/>
    </row>
    <row r="167" spans="2:9" x14ac:dyDescent="0.25">
      <c r="B167" s="9"/>
      <c r="C167" s="9"/>
      <c r="D167" s="9"/>
      <c r="E167" s="9"/>
      <c r="F167" s="9"/>
      <c r="G167" s="9"/>
      <c r="H167" s="9"/>
      <c r="I167" s="9"/>
    </row>
    <row r="168" spans="2:9" x14ac:dyDescent="0.25">
      <c r="B168" s="9"/>
      <c r="C168" s="9"/>
      <c r="D168" s="9"/>
      <c r="E168" s="9"/>
      <c r="F168" s="9"/>
      <c r="G168" s="9"/>
      <c r="H168" s="9"/>
      <c r="I168" s="9"/>
    </row>
    <row r="169" spans="2:9" x14ac:dyDescent="0.25">
      <c r="B169" s="9"/>
      <c r="C169" s="9"/>
      <c r="D169" s="9"/>
      <c r="E169" s="9"/>
      <c r="F169" s="9"/>
      <c r="G169" s="9"/>
      <c r="H169" s="9"/>
      <c r="I169" s="9"/>
    </row>
    <row r="170" spans="2:9" x14ac:dyDescent="0.25">
      <c r="B170" s="9"/>
      <c r="C170" s="9"/>
      <c r="D170" s="9"/>
      <c r="E170" s="9"/>
      <c r="F170" s="9"/>
      <c r="G170" s="9"/>
      <c r="H170" s="9"/>
      <c r="I170" s="9"/>
    </row>
    <row r="171" spans="2:9" x14ac:dyDescent="0.25">
      <c r="B171" s="9"/>
      <c r="C171" s="9"/>
      <c r="D171" s="9"/>
      <c r="E171" s="9"/>
      <c r="F171" s="9"/>
      <c r="G171" s="9"/>
      <c r="H171" s="9"/>
      <c r="I171" s="9"/>
    </row>
    <row r="172" spans="2:9" x14ac:dyDescent="0.25">
      <c r="B172" s="9"/>
      <c r="C172" s="9"/>
      <c r="D172" s="9"/>
      <c r="E172" s="9"/>
      <c r="F172" s="9"/>
      <c r="G172" s="9"/>
      <c r="H172" s="9"/>
      <c r="I172" s="9"/>
    </row>
    <row r="173" spans="2:9" x14ac:dyDescent="0.25">
      <c r="B173" s="9"/>
      <c r="C173" s="9"/>
      <c r="D173" s="9"/>
      <c r="E173" s="9"/>
      <c r="F173" s="9"/>
      <c r="G173" s="9"/>
      <c r="H173" s="9"/>
      <c r="I173" s="9"/>
    </row>
    <row r="174" spans="2:9" x14ac:dyDescent="0.25">
      <c r="B174" s="9"/>
      <c r="C174" s="9"/>
      <c r="D174" s="9"/>
      <c r="E174" s="9"/>
      <c r="F174" s="9"/>
      <c r="G174" s="9"/>
      <c r="H174" s="9"/>
      <c r="I174" s="9"/>
    </row>
    <row r="175" spans="2:9" x14ac:dyDescent="0.25">
      <c r="B175" s="9"/>
      <c r="C175" s="9"/>
      <c r="D175" s="9"/>
      <c r="E175" s="9"/>
      <c r="F175" s="9"/>
      <c r="G175" s="9"/>
      <c r="H175" s="9"/>
      <c r="I175" s="9"/>
    </row>
    <row r="176" spans="2:9" x14ac:dyDescent="0.25">
      <c r="B176" s="9"/>
      <c r="C176" s="9"/>
      <c r="D176" s="9"/>
      <c r="E176" s="9"/>
      <c r="F176" s="9"/>
      <c r="G176" s="9"/>
      <c r="H176" s="9"/>
      <c r="I176" s="9"/>
    </row>
    <row r="177" spans="2:9" x14ac:dyDescent="0.25">
      <c r="B177" s="9"/>
      <c r="C177" s="9"/>
      <c r="D177" s="9"/>
      <c r="E177" s="9"/>
      <c r="F177" s="9"/>
      <c r="G177" s="9"/>
      <c r="H177" s="9"/>
      <c r="I177" s="9"/>
    </row>
    <row r="178" spans="2:9" x14ac:dyDescent="0.25">
      <c r="B178" s="9"/>
      <c r="C178" s="9"/>
      <c r="D178" s="9"/>
      <c r="E178" s="9"/>
      <c r="F178" s="9"/>
      <c r="G178" s="9"/>
      <c r="H178" s="9"/>
      <c r="I178" s="9"/>
    </row>
    <row r="179" spans="2:9" x14ac:dyDescent="0.25">
      <c r="B179" s="9"/>
      <c r="C179" s="9"/>
      <c r="D179" s="9"/>
      <c r="E179" s="9"/>
      <c r="F179" s="9"/>
      <c r="G179" s="9"/>
      <c r="H179" s="9"/>
      <c r="I179" s="9"/>
    </row>
    <row r="180" spans="2:9" x14ac:dyDescent="0.25">
      <c r="B180" s="9"/>
      <c r="C180" s="9"/>
      <c r="D180" s="9"/>
      <c r="E180" s="9"/>
      <c r="F180" s="9"/>
      <c r="G180" s="9"/>
      <c r="H180" s="9"/>
      <c r="I180" s="9"/>
    </row>
    <row r="181" spans="2:9" x14ac:dyDescent="0.25">
      <c r="B181" s="9"/>
      <c r="C181" s="9"/>
      <c r="D181" s="9"/>
      <c r="E181" s="9"/>
      <c r="F181" s="9"/>
      <c r="G181" s="9"/>
      <c r="H181" s="9"/>
      <c r="I181" s="9"/>
    </row>
    <row r="182" spans="2:9" x14ac:dyDescent="0.25">
      <c r="B182" s="9"/>
      <c r="C182" s="9"/>
      <c r="D182" s="9"/>
      <c r="E182" s="9"/>
      <c r="F182" s="9"/>
      <c r="G182" s="9"/>
      <c r="H182" s="9"/>
      <c r="I182" s="9"/>
    </row>
    <row r="183" spans="2:9" x14ac:dyDescent="0.25">
      <c r="B183" s="9"/>
      <c r="C183" s="9"/>
      <c r="D183" s="9"/>
      <c r="E183" s="9"/>
      <c r="F183" s="9"/>
      <c r="G183" s="9"/>
      <c r="H183" s="9"/>
      <c r="I183" s="9"/>
    </row>
    <row r="184" spans="2:9" x14ac:dyDescent="0.25">
      <c r="B184" s="9"/>
      <c r="C184" s="9"/>
      <c r="D184" s="9"/>
      <c r="E184" s="9"/>
      <c r="F184" s="9"/>
      <c r="G184" s="9"/>
      <c r="H184" s="9"/>
      <c r="I184" s="9"/>
    </row>
    <row r="185" spans="2:9" x14ac:dyDescent="0.25">
      <c r="B185" s="9"/>
      <c r="C185" s="9"/>
      <c r="D185" s="9"/>
      <c r="E185" s="9"/>
      <c r="F185" s="9"/>
      <c r="G185" s="9"/>
      <c r="H185" s="9"/>
      <c r="I185" s="9"/>
    </row>
    <row r="186" spans="2:9" x14ac:dyDescent="0.25">
      <c r="B186" s="9"/>
      <c r="C186" s="9"/>
      <c r="D186" s="9"/>
      <c r="E186" s="9"/>
      <c r="F186" s="9"/>
      <c r="G186" s="9"/>
      <c r="H186" s="9"/>
      <c r="I186" s="9"/>
    </row>
    <row r="187" spans="2:9" x14ac:dyDescent="0.25">
      <c r="B187" s="9"/>
      <c r="C187" s="9"/>
      <c r="D187" s="9"/>
      <c r="E187" s="9"/>
      <c r="F187" s="9"/>
      <c r="G187" s="9"/>
      <c r="H187" s="9"/>
      <c r="I187" s="9"/>
    </row>
    <row r="188" spans="2:9" x14ac:dyDescent="0.25">
      <c r="B188" s="9"/>
      <c r="C188" s="9"/>
      <c r="D188" s="9"/>
      <c r="E188" s="9"/>
      <c r="F188" s="9"/>
      <c r="G188" s="9"/>
      <c r="H188" s="9"/>
      <c r="I188" s="9"/>
    </row>
    <row r="189" spans="2:9" x14ac:dyDescent="0.25">
      <c r="B189" s="9"/>
      <c r="C189" s="9"/>
      <c r="D189" s="9"/>
      <c r="E189" s="9"/>
      <c r="F189" s="9"/>
      <c r="G189" s="9"/>
      <c r="H189" s="9"/>
      <c r="I189" s="9"/>
    </row>
    <row r="190" spans="2:9" x14ac:dyDescent="0.25">
      <c r="B190" s="9"/>
      <c r="C190" s="9"/>
      <c r="D190" s="9"/>
      <c r="E190" s="9"/>
      <c r="F190" s="9"/>
      <c r="G190" s="9"/>
      <c r="H190" s="9"/>
      <c r="I190" s="9"/>
    </row>
    <row r="191" spans="2:9" x14ac:dyDescent="0.25">
      <c r="B191" s="9"/>
      <c r="C191" s="9"/>
      <c r="D191" s="9"/>
      <c r="E191" s="9"/>
      <c r="F191" s="9"/>
      <c r="G191" s="9"/>
      <c r="H191" s="9"/>
      <c r="I191" s="9"/>
    </row>
    <row r="192" spans="2:9" x14ac:dyDescent="0.25">
      <c r="B192" s="9"/>
      <c r="C192" s="9"/>
      <c r="D192" s="9"/>
      <c r="E192" s="9"/>
      <c r="F192" s="9"/>
      <c r="G192" s="9"/>
      <c r="H192" s="9"/>
      <c r="I192" s="9"/>
    </row>
    <row r="193" spans="2:9" x14ac:dyDescent="0.25">
      <c r="B193" s="9"/>
      <c r="C193" s="9"/>
      <c r="D193" s="9"/>
      <c r="E193" s="9"/>
      <c r="F193" s="9"/>
      <c r="G193" s="9"/>
      <c r="H193" s="9"/>
      <c r="I193" s="9"/>
    </row>
    <row r="194" spans="2:9" x14ac:dyDescent="0.25">
      <c r="B194" s="9"/>
      <c r="C194" s="9"/>
      <c r="D194" s="9"/>
      <c r="E194" s="9"/>
      <c r="F194" s="9"/>
      <c r="G194" s="9"/>
      <c r="H194" s="9"/>
      <c r="I194" s="9"/>
    </row>
    <row r="195" spans="2:9" x14ac:dyDescent="0.25">
      <c r="B195" s="9"/>
      <c r="C195" s="9"/>
      <c r="D195" s="9"/>
      <c r="E195" s="9"/>
      <c r="F195" s="9"/>
      <c r="G195" s="9"/>
      <c r="H195" s="9"/>
      <c r="I195" s="9"/>
    </row>
    <row r="196" spans="2:9" x14ac:dyDescent="0.25">
      <c r="B196" s="9"/>
      <c r="C196" s="9"/>
      <c r="D196" s="9"/>
      <c r="E196" s="9"/>
      <c r="F196" s="9"/>
      <c r="G196" s="9"/>
      <c r="H196" s="9"/>
      <c r="I196" s="9"/>
    </row>
    <row r="197" spans="2:9" x14ac:dyDescent="0.25">
      <c r="B197" s="9"/>
      <c r="C197" s="9"/>
      <c r="D197" s="9"/>
      <c r="E197" s="9"/>
      <c r="F197" s="9"/>
      <c r="G197" s="9"/>
      <c r="H197" s="9"/>
      <c r="I197" s="9"/>
    </row>
    <row r="198" spans="2:9" x14ac:dyDescent="0.25">
      <c r="B198" s="9"/>
      <c r="C198" s="9"/>
      <c r="D198" s="9"/>
      <c r="E198" s="9"/>
      <c r="F198" s="9"/>
      <c r="G198" s="9"/>
      <c r="H198" s="9"/>
      <c r="I198" s="9"/>
    </row>
    <row r="199" spans="2:9" x14ac:dyDescent="0.25">
      <c r="B199" s="9"/>
      <c r="C199" s="9"/>
      <c r="D199" s="9"/>
      <c r="E199" s="9"/>
      <c r="F199" s="9"/>
      <c r="G199" s="9"/>
      <c r="H199" s="9"/>
      <c r="I199" s="9"/>
    </row>
    <row r="200" spans="2:9" x14ac:dyDescent="0.25">
      <c r="B200" s="9"/>
      <c r="C200" s="9"/>
      <c r="D200" s="9"/>
      <c r="E200" s="9"/>
      <c r="F200" s="9"/>
      <c r="G200" s="9"/>
      <c r="H200" s="9"/>
      <c r="I200" s="9"/>
    </row>
    <row r="201" spans="2:9" x14ac:dyDescent="0.25">
      <c r="B201" s="9"/>
      <c r="C201" s="9"/>
      <c r="D201" s="9"/>
      <c r="E201" s="9"/>
      <c r="F201" s="9"/>
      <c r="G201" s="9"/>
      <c r="H201" s="9"/>
      <c r="I201" s="9"/>
    </row>
    <row r="202" spans="2:9" x14ac:dyDescent="0.25">
      <c r="B202" s="9"/>
      <c r="C202" s="9"/>
      <c r="D202" s="9"/>
      <c r="E202" s="9"/>
      <c r="F202" s="9"/>
      <c r="G202" s="9"/>
      <c r="H202" s="9"/>
      <c r="I202" s="9"/>
    </row>
    <row r="203" spans="2:9" x14ac:dyDescent="0.25">
      <c r="B203" s="9"/>
      <c r="C203" s="9"/>
      <c r="D203" s="9"/>
      <c r="E203" s="9"/>
      <c r="F203" s="9"/>
      <c r="G203" s="9"/>
      <c r="H203" s="9"/>
      <c r="I203" s="9"/>
    </row>
    <row r="204" spans="2:9" x14ac:dyDescent="0.25">
      <c r="B204" s="9"/>
      <c r="C204" s="9"/>
      <c r="D204" s="9"/>
      <c r="E204" s="9"/>
      <c r="F204" s="9"/>
      <c r="G204" s="9"/>
      <c r="H204" s="9"/>
      <c r="I204" s="9"/>
    </row>
    <row r="205" spans="2:9" x14ac:dyDescent="0.25">
      <c r="B205" s="9"/>
      <c r="C205" s="9"/>
      <c r="D205" s="9"/>
      <c r="E205" s="9"/>
      <c r="F205" s="9"/>
      <c r="G205" s="9"/>
      <c r="H205" s="9"/>
      <c r="I205" s="9"/>
    </row>
    <row r="206" spans="2:9" x14ac:dyDescent="0.25">
      <c r="B206" s="9"/>
      <c r="C206" s="9"/>
      <c r="D206" s="9"/>
      <c r="E206" s="9"/>
      <c r="F206" s="9"/>
      <c r="G206" s="9"/>
      <c r="H206" s="9"/>
      <c r="I206" s="9"/>
    </row>
    <row r="207" spans="2:9" x14ac:dyDescent="0.25">
      <c r="B207" s="9"/>
      <c r="C207" s="9"/>
      <c r="D207" s="9"/>
      <c r="E207" s="9"/>
      <c r="F207" s="9"/>
      <c r="G207" s="9"/>
      <c r="H207" s="9"/>
      <c r="I207" s="9"/>
    </row>
    <row r="208" spans="2:9" x14ac:dyDescent="0.25">
      <c r="B208" s="9"/>
      <c r="C208" s="9"/>
      <c r="D208" s="9"/>
      <c r="E208" s="9"/>
      <c r="F208" s="9"/>
      <c r="G208" s="9"/>
      <c r="H208" s="9"/>
      <c r="I208" s="9"/>
    </row>
    <row r="209" spans="2:9" x14ac:dyDescent="0.25">
      <c r="B209" s="9"/>
      <c r="C209" s="9"/>
      <c r="D209" s="9"/>
      <c r="E209" s="9"/>
      <c r="F209" s="9"/>
      <c r="G209" s="9"/>
      <c r="H209" s="9"/>
      <c r="I209" s="9"/>
    </row>
    <row r="210" spans="2:9" x14ac:dyDescent="0.25">
      <c r="B210" s="9"/>
      <c r="C210" s="9"/>
      <c r="D210" s="9"/>
      <c r="E210" s="9"/>
      <c r="F210" s="9"/>
      <c r="G210" s="9"/>
      <c r="H210" s="9"/>
      <c r="I210" s="9"/>
    </row>
    <row r="211" spans="2:9" x14ac:dyDescent="0.25">
      <c r="B211" s="9"/>
      <c r="C211" s="9"/>
      <c r="D211" s="9"/>
      <c r="E211" s="9"/>
      <c r="F211" s="9"/>
      <c r="G211" s="9"/>
      <c r="H211" s="9"/>
      <c r="I211" s="9"/>
    </row>
    <row r="212" spans="2:9" x14ac:dyDescent="0.25">
      <c r="B212" s="9"/>
      <c r="C212" s="9"/>
      <c r="D212" s="9"/>
      <c r="E212" s="9"/>
      <c r="F212" s="9"/>
      <c r="G212" s="9"/>
      <c r="H212" s="9"/>
      <c r="I212" s="9"/>
    </row>
    <row r="213" spans="2:9" x14ac:dyDescent="0.25">
      <c r="B213" s="9"/>
      <c r="C213" s="9"/>
      <c r="D213" s="9"/>
      <c r="E213" s="9"/>
      <c r="F213" s="9"/>
      <c r="G213" s="9"/>
      <c r="H213" s="9"/>
      <c r="I213" s="9"/>
    </row>
    <row r="214" spans="2:9" x14ac:dyDescent="0.25">
      <c r="B214" s="9"/>
      <c r="C214" s="9"/>
      <c r="D214" s="9"/>
      <c r="E214" s="9"/>
      <c r="F214" s="9"/>
      <c r="G214" s="9"/>
      <c r="H214" s="9"/>
      <c r="I214" s="9"/>
    </row>
    <row r="215" spans="2:9" x14ac:dyDescent="0.25">
      <c r="B215" s="9"/>
      <c r="C215" s="9"/>
      <c r="D215" s="9"/>
      <c r="E215" s="9"/>
      <c r="F215" s="9"/>
      <c r="G215" s="9"/>
      <c r="H215" s="9"/>
      <c r="I215" s="9"/>
    </row>
    <row r="216" spans="2:9" x14ac:dyDescent="0.25">
      <c r="B216" s="9"/>
      <c r="C216" s="9"/>
      <c r="D216" s="9"/>
      <c r="E216" s="9"/>
      <c r="F216" s="9"/>
      <c r="G216" s="9"/>
      <c r="H216" s="9"/>
      <c r="I216" s="9"/>
    </row>
    <row r="217" spans="2:9" x14ac:dyDescent="0.25">
      <c r="B217" s="9"/>
      <c r="C217" s="9"/>
      <c r="D217" s="9"/>
      <c r="E217" s="9"/>
      <c r="F217" s="9"/>
      <c r="G217" s="9"/>
      <c r="H217" s="9"/>
      <c r="I217" s="9"/>
    </row>
    <row r="218" spans="2:9" x14ac:dyDescent="0.25">
      <c r="B218" s="9"/>
      <c r="C218" s="9"/>
      <c r="D218" s="9"/>
      <c r="E218" s="9"/>
      <c r="F218" s="9"/>
      <c r="G218" s="9"/>
      <c r="H218" s="9"/>
      <c r="I218" s="9"/>
    </row>
    <row r="219" spans="2:9" x14ac:dyDescent="0.25">
      <c r="B219" s="9"/>
      <c r="C219" s="9"/>
      <c r="D219" s="9"/>
      <c r="E219" s="9"/>
      <c r="F219" s="9"/>
      <c r="G219" s="9"/>
      <c r="H219" s="9"/>
      <c r="I219" s="9"/>
    </row>
    <row r="220" spans="2:9" x14ac:dyDescent="0.25">
      <c r="B220" s="9"/>
      <c r="C220" s="9"/>
      <c r="D220" s="9"/>
      <c r="E220" s="9"/>
      <c r="F220" s="9"/>
      <c r="G220" s="9"/>
      <c r="H220" s="9"/>
      <c r="I220" s="9"/>
    </row>
    <row r="221" spans="2:9" x14ac:dyDescent="0.25">
      <c r="B221" s="9"/>
      <c r="C221" s="9"/>
      <c r="D221" s="9"/>
      <c r="E221" s="9"/>
      <c r="F221" s="9"/>
      <c r="G221" s="9"/>
      <c r="H221" s="9"/>
      <c r="I221" s="9"/>
    </row>
    <row r="222" spans="2:9" x14ac:dyDescent="0.25">
      <c r="B222" s="9"/>
      <c r="C222" s="9"/>
      <c r="D222" s="9"/>
      <c r="E222" s="9"/>
      <c r="F222" s="9"/>
      <c r="G222" s="9"/>
      <c r="H222" s="9"/>
      <c r="I222" s="9"/>
    </row>
    <row r="223" spans="2:9" x14ac:dyDescent="0.25">
      <c r="B223" s="9"/>
      <c r="C223" s="9"/>
      <c r="D223" s="9"/>
      <c r="E223" s="9"/>
      <c r="F223" s="9"/>
      <c r="G223" s="9"/>
      <c r="H223" s="9"/>
      <c r="I223" s="9"/>
    </row>
    <row r="224" spans="2:9" x14ac:dyDescent="0.25">
      <c r="B224" s="9"/>
      <c r="C224" s="9"/>
      <c r="D224" s="9"/>
      <c r="E224" s="9"/>
      <c r="F224" s="9"/>
      <c r="G224" s="9"/>
      <c r="H224" s="9"/>
      <c r="I224" s="9"/>
    </row>
    <row r="225" spans="2:9" x14ac:dyDescent="0.25">
      <c r="B225" s="9"/>
      <c r="C225" s="9"/>
      <c r="D225" s="9"/>
      <c r="E225" s="9"/>
      <c r="F225" s="9"/>
      <c r="G225" s="9"/>
      <c r="H225" s="9"/>
      <c r="I225" s="9"/>
    </row>
    <row r="226" spans="2:9" x14ac:dyDescent="0.25">
      <c r="B226" s="9"/>
      <c r="C226" s="9"/>
      <c r="D226" s="9"/>
      <c r="E226" s="9"/>
      <c r="F226" s="9"/>
      <c r="G226" s="9"/>
      <c r="H226" s="9"/>
      <c r="I226" s="9"/>
    </row>
    <row r="227" spans="2:9" x14ac:dyDescent="0.25">
      <c r="B227" s="9"/>
      <c r="C227" s="9"/>
      <c r="D227" s="9"/>
      <c r="E227" s="9"/>
      <c r="F227" s="9"/>
      <c r="G227" s="9"/>
      <c r="H227" s="9"/>
      <c r="I227" s="9"/>
    </row>
    <row r="228" spans="2:9" x14ac:dyDescent="0.25">
      <c r="B228" s="9"/>
      <c r="C228" s="9"/>
      <c r="D228" s="9"/>
      <c r="E228" s="9"/>
      <c r="F228" s="9"/>
      <c r="G228" s="9"/>
      <c r="H228" s="9"/>
      <c r="I228" s="9"/>
    </row>
    <row r="229" spans="2:9" x14ac:dyDescent="0.25">
      <c r="B229" s="9"/>
      <c r="C229" s="9"/>
      <c r="D229" s="9"/>
      <c r="E229" s="9"/>
      <c r="F229" s="9"/>
      <c r="G229" s="9"/>
      <c r="H229" s="9"/>
      <c r="I229" s="9"/>
    </row>
    <row r="230" spans="2:9" x14ac:dyDescent="0.25">
      <c r="B230" s="9"/>
      <c r="C230" s="9"/>
      <c r="D230" s="9"/>
      <c r="E230" s="9"/>
      <c r="F230" s="9"/>
      <c r="G230" s="9"/>
      <c r="H230" s="9"/>
      <c r="I230" s="9"/>
    </row>
    <row r="231" spans="2:9" x14ac:dyDescent="0.25">
      <c r="B231" s="9"/>
      <c r="C231" s="9"/>
      <c r="D231" s="9"/>
      <c r="E231" s="9"/>
      <c r="F231" s="9"/>
      <c r="G231" s="9"/>
      <c r="H231" s="9"/>
      <c r="I231" s="9"/>
    </row>
    <row r="232" spans="2:9" x14ac:dyDescent="0.25">
      <c r="B232" s="9"/>
      <c r="C232" s="9"/>
      <c r="D232" s="9"/>
      <c r="E232" s="9"/>
      <c r="F232" s="9"/>
      <c r="G232" s="9"/>
      <c r="H232" s="9"/>
      <c r="I232" s="9"/>
    </row>
    <row r="233" spans="2:9" x14ac:dyDescent="0.25">
      <c r="B233" s="9"/>
      <c r="C233" s="9"/>
      <c r="D233" s="9"/>
      <c r="E233" s="9"/>
      <c r="F233" s="9"/>
      <c r="G233" s="9"/>
      <c r="H233" s="9"/>
      <c r="I233" s="9"/>
    </row>
    <row r="234" spans="2:9" x14ac:dyDescent="0.25">
      <c r="B234" s="9"/>
      <c r="C234" s="9"/>
      <c r="D234" s="9"/>
      <c r="E234" s="9"/>
      <c r="F234" s="9"/>
      <c r="G234" s="9"/>
      <c r="H234" s="9"/>
      <c r="I234" s="9"/>
    </row>
    <row r="235" spans="2:9" x14ac:dyDescent="0.25">
      <c r="B235" s="9"/>
      <c r="C235" s="9"/>
      <c r="D235" s="9"/>
      <c r="E235" s="9"/>
      <c r="F235" s="9"/>
      <c r="G235" s="9"/>
      <c r="H235" s="9"/>
      <c r="I235" s="9"/>
    </row>
    <row r="236" spans="2:9" x14ac:dyDescent="0.25">
      <c r="B236" s="9"/>
      <c r="C236" s="9"/>
      <c r="D236" s="9"/>
      <c r="E236" s="9"/>
      <c r="F236" s="9"/>
      <c r="G236" s="9"/>
      <c r="H236" s="9"/>
      <c r="I236" s="9"/>
    </row>
    <row r="237" spans="2:9" x14ac:dyDescent="0.25">
      <c r="B237" s="9"/>
      <c r="C237" s="9"/>
      <c r="D237" s="9"/>
      <c r="E237" s="9"/>
      <c r="F237" s="9"/>
      <c r="G237" s="9"/>
      <c r="H237" s="9"/>
      <c r="I237" s="9"/>
    </row>
    <row r="238" spans="2:9" x14ac:dyDescent="0.25">
      <c r="B238" s="9"/>
      <c r="C238" s="9"/>
      <c r="D238" s="9"/>
      <c r="E238" s="9"/>
      <c r="F238" s="9"/>
      <c r="G238" s="9"/>
      <c r="H238" s="9"/>
      <c r="I238" s="9"/>
    </row>
    <row r="239" spans="2:9" x14ac:dyDescent="0.25">
      <c r="B239" s="9"/>
      <c r="C239" s="9"/>
      <c r="D239" s="9"/>
      <c r="E239" s="9"/>
      <c r="F239" s="9"/>
      <c r="G239" s="9"/>
      <c r="H239" s="9"/>
      <c r="I239" s="9"/>
    </row>
    <row r="240" spans="2:9" x14ac:dyDescent="0.25">
      <c r="B240" s="9"/>
      <c r="C240" s="9"/>
      <c r="D240" s="9"/>
      <c r="E240" s="9"/>
      <c r="F240" s="9"/>
      <c r="G240" s="9"/>
      <c r="H240" s="9"/>
      <c r="I240" s="9"/>
    </row>
    <row r="241" spans="2:9" x14ac:dyDescent="0.25">
      <c r="B241" s="9"/>
      <c r="C241" s="9"/>
      <c r="D241" s="9"/>
      <c r="E241" s="9"/>
      <c r="F241" s="9"/>
      <c r="G241" s="9"/>
      <c r="H241" s="9"/>
      <c r="I241" s="9"/>
    </row>
    <row r="242" spans="2:9" x14ac:dyDescent="0.25">
      <c r="B242" s="9"/>
      <c r="C242" s="9"/>
      <c r="D242" s="9"/>
      <c r="E242" s="9"/>
      <c r="F242" s="9"/>
      <c r="G242" s="9"/>
      <c r="H242" s="9"/>
      <c r="I242" s="9"/>
    </row>
    <row r="243" spans="2:9" x14ac:dyDescent="0.25">
      <c r="B243" s="9"/>
      <c r="C243" s="9"/>
      <c r="D243" s="9"/>
      <c r="E243" s="9"/>
      <c r="F243" s="9"/>
      <c r="G243" s="9"/>
      <c r="H243" s="9"/>
      <c r="I243" s="9"/>
    </row>
    <row r="244" spans="2:9" x14ac:dyDescent="0.25">
      <c r="B244" s="9"/>
      <c r="C244" s="9"/>
      <c r="D244" s="9"/>
      <c r="E244" s="9"/>
      <c r="F244" s="9"/>
      <c r="G244" s="9"/>
      <c r="H244" s="9"/>
      <c r="I244" s="9"/>
    </row>
    <row r="245" spans="2:9" x14ac:dyDescent="0.25">
      <c r="B245" s="9"/>
      <c r="C245" s="9"/>
      <c r="D245" s="9"/>
      <c r="E245" s="9"/>
      <c r="F245" s="9"/>
      <c r="G245" s="9"/>
      <c r="H245" s="9"/>
      <c r="I245" s="9"/>
    </row>
    <row r="246" spans="2:9" x14ac:dyDescent="0.25">
      <c r="B246" s="9"/>
      <c r="C246" s="9"/>
      <c r="D246" s="9"/>
      <c r="E246" s="9"/>
      <c r="F246" s="9"/>
      <c r="G246" s="9"/>
      <c r="H246" s="9"/>
      <c r="I246" s="9"/>
    </row>
    <row r="247" spans="2:9" x14ac:dyDescent="0.25">
      <c r="B247" s="9"/>
      <c r="C247" s="9"/>
      <c r="D247" s="9"/>
      <c r="E247" s="9"/>
      <c r="F247" s="9"/>
      <c r="G247" s="9"/>
      <c r="H247" s="9"/>
      <c r="I247" s="9"/>
    </row>
    <row r="248" spans="2:9" x14ac:dyDescent="0.25">
      <c r="B248" s="9"/>
      <c r="C248" s="9"/>
      <c r="D248" s="9"/>
      <c r="E248" s="9"/>
      <c r="F248" s="9"/>
      <c r="G248" s="9"/>
      <c r="H248" s="9"/>
      <c r="I248" s="9"/>
    </row>
    <row r="249" spans="2:9" x14ac:dyDescent="0.25">
      <c r="B249" s="9"/>
      <c r="C249" s="9"/>
      <c r="D249" s="9"/>
      <c r="E249" s="9"/>
      <c r="F249" s="9"/>
      <c r="G249" s="9"/>
      <c r="H249" s="9"/>
      <c r="I249" s="9"/>
    </row>
    <row r="250" spans="2:9" x14ac:dyDescent="0.25">
      <c r="B250" s="9"/>
      <c r="C250" s="9"/>
      <c r="D250" s="9"/>
      <c r="E250" s="9"/>
      <c r="F250" s="9"/>
      <c r="G250" s="9"/>
      <c r="H250" s="9"/>
      <c r="I250" s="9"/>
    </row>
    <row r="251" spans="2:9" x14ac:dyDescent="0.25">
      <c r="B251" s="9"/>
      <c r="C251" s="9"/>
      <c r="D251" s="9"/>
      <c r="E251" s="9"/>
      <c r="F251" s="9"/>
      <c r="G251" s="9"/>
      <c r="H251" s="9"/>
      <c r="I251" s="9"/>
    </row>
    <row r="252" spans="2:9" x14ac:dyDescent="0.25">
      <c r="B252" s="9"/>
      <c r="C252" s="9"/>
      <c r="D252" s="9"/>
      <c r="E252" s="9"/>
      <c r="F252" s="9"/>
      <c r="G252" s="9"/>
      <c r="H252" s="9"/>
      <c r="I252" s="9"/>
    </row>
    <row r="253" spans="2:9" x14ac:dyDescent="0.25">
      <c r="B253" s="9"/>
      <c r="C253" s="9"/>
      <c r="D253" s="9"/>
      <c r="E253" s="9"/>
      <c r="F253" s="9"/>
      <c r="G253" s="9"/>
      <c r="H253" s="9"/>
      <c r="I253" s="9"/>
    </row>
    <row r="254" spans="2:9" x14ac:dyDescent="0.25">
      <c r="B254" s="9"/>
      <c r="C254" s="9"/>
      <c r="D254" s="9"/>
      <c r="E254" s="9"/>
      <c r="F254" s="9"/>
      <c r="G254" s="9"/>
      <c r="H254" s="9"/>
      <c r="I254" s="9"/>
    </row>
    <row r="255" spans="2:9" x14ac:dyDescent="0.25">
      <c r="B255" s="9"/>
      <c r="C255" s="9"/>
      <c r="D255" s="9"/>
      <c r="E255" s="9"/>
      <c r="F255" s="9"/>
      <c r="G255" s="9"/>
      <c r="H255" s="9"/>
      <c r="I255" s="9"/>
    </row>
    <row r="256" spans="2:9" x14ac:dyDescent="0.25">
      <c r="B256" s="9"/>
      <c r="C256" s="9"/>
      <c r="D256" s="9"/>
      <c r="E256" s="9"/>
      <c r="F256" s="9"/>
      <c r="G256" s="9"/>
      <c r="H256" s="9"/>
      <c r="I256" s="9"/>
    </row>
    <row r="257" spans="2:9" x14ac:dyDescent="0.25">
      <c r="B257" s="9"/>
      <c r="C257" s="9"/>
      <c r="D257" s="9"/>
      <c r="E257" s="9"/>
      <c r="F257" s="9"/>
      <c r="G257" s="9"/>
      <c r="H257" s="9"/>
      <c r="I257" s="9"/>
    </row>
    <row r="258" spans="2:9" x14ac:dyDescent="0.25">
      <c r="B258" s="9"/>
      <c r="C258" s="9"/>
      <c r="D258" s="9"/>
      <c r="E258" s="9"/>
      <c r="F258" s="9"/>
      <c r="G258" s="9"/>
      <c r="H258" s="9"/>
      <c r="I258" s="9"/>
    </row>
    <row r="259" spans="2:9" x14ac:dyDescent="0.25">
      <c r="B259" s="9"/>
      <c r="C259" s="9"/>
      <c r="D259" s="9"/>
      <c r="E259" s="9"/>
      <c r="F259" s="9"/>
      <c r="G259" s="9"/>
      <c r="H259" s="9"/>
      <c r="I259" s="9"/>
    </row>
    <row r="260" spans="2:9" x14ac:dyDescent="0.25">
      <c r="B260" s="9"/>
      <c r="C260" s="9"/>
      <c r="D260" s="9"/>
      <c r="E260" s="9"/>
      <c r="F260" s="9"/>
      <c r="G260" s="9"/>
      <c r="H260" s="9"/>
      <c r="I260" s="9"/>
    </row>
    <row r="261" spans="2:9" x14ac:dyDescent="0.25">
      <c r="B261" s="9"/>
      <c r="C261" s="9"/>
      <c r="D261" s="9"/>
      <c r="E261" s="9"/>
      <c r="F261" s="9"/>
      <c r="G261" s="9"/>
      <c r="H261" s="9"/>
      <c r="I261" s="9"/>
    </row>
    <row r="262" spans="2:9" x14ac:dyDescent="0.25">
      <c r="B262" s="9"/>
      <c r="C262" s="9"/>
      <c r="D262" s="9"/>
      <c r="E262" s="9"/>
      <c r="F262" s="9"/>
      <c r="G262" s="9"/>
      <c r="H262" s="9"/>
      <c r="I262" s="9"/>
    </row>
    <row r="263" spans="2:9" x14ac:dyDescent="0.25">
      <c r="B263" s="9"/>
      <c r="C263" s="9"/>
      <c r="D263" s="9"/>
      <c r="E263" s="9"/>
      <c r="F263" s="9"/>
      <c r="G263" s="9"/>
      <c r="H263" s="9"/>
      <c r="I263" s="9"/>
    </row>
    <row r="264" spans="2:9" x14ac:dyDescent="0.25">
      <c r="B264" s="9"/>
      <c r="C264" s="9"/>
      <c r="D264" s="9"/>
      <c r="E264" s="9"/>
      <c r="F264" s="9"/>
      <c r="G264" s="9"/>
      <c r="H264" s="9"/>
      <c r="I264" s="9"/>
    </row>
    <row r="265" spans="2:9" x14ac:dyDescent="0.25">
      <c r="B265" s="9"/>
      <c r="C265" s="9"/>
      <c r="D265" s="9"/>
      <c r="E265" s="9"/>
      <c r="F265" s="9"/>
      <c r="G265" s="9"/>
      <c r="H265" s="9"/>
      <c r="I265" s="9"/>
    </row>
    <row r="266" spans="2:9" x14ac:dyDescent="0.25">
      <c r="B266" s="9"/>
      <c r="C266" s="9"/>
      <c r="D266" s="9"/>
      <c r="E266" s="9"/>
      <c r="F266" s="9"/>
      <c r="G266" s="9"/>
      <c r="H266" s="9"/>
      <c r="I266" s="9"/>
    </row>
    <row r="267" spans="2:9" x14ac:dyDescent="0.25">
      <c r="B267" s="9"/>
      <c r="C267" s="9"/>
      <c r="D267" s="9"/>
      <c r="E267" s="9"/>
      <c r="F267" s="9"/>
      <c r="G267" s="9"/>
      <c r="H267" s="9"/>
      <c r="I267" s="9"/>
    </row>
    <row r="268" spans="2:9" x14ac:dyDescent="0.25">
      <c r="B268" s="9"/>
      <c r="C268" s="9"/>
      <c r="D268" s="9"/>
      <c r="E268" s="9"/>
      <c r="F268" s="9"/>
      <c r="G268" s="9"/>
      <c r="H268" s="9"/>
      <c r="I268" s="9"/>
    </row>
    <row r="269" spans="2:9" x14ac:dyDescent="0.25">
      <c r="B269" s="9"/>
      <c r="C269" s="9"/>
      <c r="D269" s="9"/>
      <c r="E269" s="9"/>
      <c r="F269" s="9"/>
      <c r="G269" s="9"/>
      <c r="H269" s="9"/>
      <c r="I269" s="9"/>
    </row>
    <row r="270" spans="2:9" x14ac:dyDescent="0.25">
      <c r="B270" s="9"/>
      <c r="C270" s="9"/>
      <c r="D270" s="9"/>
      <c r="E270" s="9"/>
      <c r="F270" s="9"/>
      <c r="G270" s="9"/>
      <c r="H270" s="9"/>
      <c r="I270" s="9"/>
    </row>
    <row r="271" spans="2:9" x14ac:dyDescent="0.25">
      <c r="B271" s="9"/>
      <c r="C271" s="9"/>
      <c r="D271" s="9"/>
      <c r="E271" s="9"/>
      <c r="F271" s="9"/>
      <c r="G271" s="9"/>
      <c r="H271" s="9"/>
      <c r="I271" s="9"/>
    </row>
    <row r="272" spans="2:9" x14ac:dyDescent="0.25">
      <c r="B272" s="9"/>
      <c r="C272" s="9"/>
      <c r="D272" s="9"/>
      <c r="E272" s="9"/>
      <c r="F272" s="9"/>
      <c r="G272" s="9"/>
      <c r="H272" s="9"/>
      <c r="I272" s="9"/>
    </row>
    <row r="273" spans="2:9" x14ac:dyDescent="0.25">
      <c r="B273" s="9"/>
      <c r="C273" s="9"/>
      <c r="D273" s="9"/>
      <c r="E273" s="9"/>
      <c r="F273" s="9"/>
      <c r="G273" s="9"/>
      <c r="H273" s="9"/>
      <c r="I273" s="9"/>
    </row>
    <row r="274" spans="2:9" x14ac:dyDescent="0.25">
      <c r="B274" s="9"/>
      <c r="C274" s="9"/>
      <c r="D274" s="9"/>
      <c r="E274" s="9"/>
      <c r="F274" s="9"/>
      <c r="G274" s="9"/>
      <c r="H274" s="9"/>
      <c r="I274" s="9"/>
    </row>
    <row r="275" spans="2:9" x14ac:dyDescent="0.25">
      <c r="B275" s="9"/>
      <c r="C275" s="9"/>
      <c r="D275" s="9"/>
      <c r="E275" s="9"/>
      <c r="F275" s="9"/>
      <c r="G275" s="9"/>
      <c r="H275" s="9"/>
      <c r="I275" s="9"/>
    </row>
    <row r="276" spans="2:9" x14ac:dyDescent="0.25">
      <c r="B276" s="9"/>
      <c r="C276" s="9"/>
      <c r="D276" s="9"/>
      <c r="E276" s="9"/>
      <c r="F276" s="9"/>
      <c r="G276" s="9"/>
      <c r="H276" s="9"/>
      <c r="I276" s="9"/>
    </row>
    <row r="277" spans="2:9" x14ac:dyDescent="0.25">
      <c r="B277" s="9"/>
      <c r="C277" s="9"/>
      <c r="D277" s="9"/>
      <c r="E277" s="9"/>
      <c r="F277" s="9"/>
      <c r="G277" s="9"/>
      <c r="H277" s="9"/>
      <c r="I277" s="9"/>
    </row>
    <row r="278" spans="2:9" x14ac:dyDescent="0.25">
      <c r="B278" s="9"/>
      <c r="C278" s="9"/>
      <c r="D278" s="9"/>
      <c r="E278" s="9"/>
      <c r="F278" s="9"/>
      <c r="G278" s="9"/>
      <c r="H278" s="9"/>
      <c r="I278" s="9"/>
    </row>
    <row r="279" spans="2:9" x14ac:dyDescent="0.25">
      <c r="B279" s="9"/>
      <c r="C279" s="9"/>
      <c r="D279" s="9"/>
      <c r="E279" s="9"/>
      <c r="F279" s="9"/>
      <c r="G279" s="9"/>
      <c r="H279" s="9"/>
      <c r="I279" s="9"/>
    </row>
    <row r="280" spans="2:9" x14ac:dyDescent="0.25">
      <c r="B280" s="9"/>
      <c r="C280" s="9"/>
      <c r="D280" s="9"/>
      <c r="E280" s="9"/>
      <c r="F280" s="9"/>
      <c r="G280" s="9"/>
      <c r="H280" s="9"/>
      <c r="I280" s="9"/>
    </row>
    <row r="281" spans="2:9" x14ac:dyDescent="0.25">
      <c r="B281" s="9"/>
      <c r="C281" s="9"/>
      <c r="D281" s="9"/>
      <c r="E281" s="9"/>
      <c r="F281" s="9"/>
      <c r="G281" s="9"/>
      <c r="H281" s="9"/>
      <c r="I281" s="9"/>
    </row>
    <row r="282" spans="2:9" x14ac:dyDescent="0.25">
      <c r="B282" s="9"/>
      <c r="C282" s="9"/>
      <c r="D282" s="9"/>
      <c r="E282" s="9"/>
      <c r="F282" s="9"/>
      <c r="G282" s="9"/>
      <c r="H282" s="9"/>
      <c r="I282" s="9"/>
    </row>
    <row r="283" spans="2:9" x14ac:dyDescent="0.25">
      <c r="B283" s="9"/>
      <c r="C283" s="9"/>
      <c r="D283" s="9"/>
      <c r="E283" s="9"/>
      <c r="F283" s="9"/>
      <c r="G283" s="9"/>
      <c r="H283" s="9"/>
      <c r="I283" s="9"/>
    </row>
    <row r="284" spans="2:9" x14ac:dyDescent="0.25">
      <c r="B284" s="9"/>
      <c r="C284" s="9"/>
      <c r="D284" s="9"/>
      <c r="E284" s="9"/>
      <c r="F284" s="9"/>
      <c r="G284" s="9"/>
      <c r="H284" s="9"/>
      <c r="I284" s="9"/>
    </row>
    <row r="285" spans="2:9" x14ac:dyDescent="0.25">
      <c r="B285" s="9"/>
      <c r="C285" s="9"/>
      <c r="D285" s="9"/>
      <c r="E285" s="9"/>
      <c r="F285" s="9"/>
      <c r="G285" s="9"/>
      <c r="H285" s="9"/>
      <c r="I285" s="9"/>
    </row>
    <row r="286" spans="2:9" x14ac:dyDescent="0.25">
      <c r="B286" s="9"/>
      <c r="C286" s="9"/>
      <c r="D286" s="9"/>
      <c r="E286" s="9"/>
      <c r="F286" s="9"/>
      <c r="G286" s="9"/>
      <c r="H286" s="9"/>
      <c r="I286" s="9"/>
    </row>
    <row r="287" spans="2:9" x14ac:dyDescent="0.25">
      <c r="B287" s="9"/>
      <c r="C287" s="9"/>
      <c r="D287" s="9"/>
      <c r="E287" s="9"/>
      <c r="F287" s="9"/>
      <c r="G287" s="9"/>
      <c r="H287" s="9"/>
      <c r="I287" s="9"/>
    </row>
    <row r="288" spans="2:9" x14ac:dyDescent="0.25">
      <c r="B288" s="9"/>
      <c r="C288" s="9"/>
      <c r="D288" s="9"/>
      <c r="E288" s="9"/>
      <c r="F288" s="9"/>
      <c r="G288" s="9"/>
      <c r="H288" s="9"/>
      <c r="I288" s="9"/>
    </row>
    <row r="289" spans="2:9" x14ac:dyDescent="0.25">
      <c r="B289" s="9"/>
      <c r="C289" s="9"/>
      <c r="D289" s="9"/>
      <c r="E289" s="9"/>
      <c r="F289" s="9"/>
      <c r="G289" s="9"/>
      <c r="H289" s="9"/>
      <c r="I289" s="9"/>
    </row>
    <row r="290" spans="2:9" x14ac:dyDescent="0.25">
      <c r="B290" s="9"/>
      <c r="C290" s="9"/>
      <c r="D290" s="9"/>
      <c r="E290" s="9"/>
      <c r="F290" s="9"/>
      <c r="G290" s="9"/>
      <c r="H290" s="9"/>
      <c r="I290" s="9"/>
    </row>
    <row r="291" spans="2:9" x14ac:dyDescent="0.25">
      <c r="B291" s="9"/>
      <c r="C291" s="9"/>
      <c r="D291" s="9"/>
      <c r="E291" s="9"/>
      <c r="F291" s="9"/>
      <c r="G291" s="9"/>
      <c r="H291" s="9"/>
      <c r="I291" s="9"/>
    </row>
    <row r="292" spans="2:9" x14ac:dyDescent="0.25">
      <c r="B292" s="9"/>
      <c r="C292" s="9"/>
      <c r="D292" s="9"/>
      <c r="E292" s="9"/>
      <c r="F292" s="9"/>
      <c r="G292" s="9"/>
      <c r="H292" s="9"/>
      <c r="I292" s="9"/>
    </row>
    <row r="293" spans="2:9" x14ac:dyDescent="0.25">
      <c r="B293" s="9"/>
      <c r="C293" s="9"/>
      <c r="D293" s="9"/>
      <c r="E293" s="9"/>
      <c r="F293" s="9"/>
      <c r="G293" s="9"/>
      <c r="H293" s="9"/>
      <c r="I293" s="9"/>
    </row>
    <row r="294" spans="2:9" x14ac:dyDescent="0.25">
      <c r="B294" s="9"/>
      <c r="C294" s="9"/>
      <c r="D294" s="9"/>
      <c r="E294" s="9"/>
      <c r="F294" s="9"/>
      <c r="G294" s="9"/>
      <c r="H294" s="9"/>
      <c r="I294" s="9"/>
    </row>
    <row r="295" spans="2:9" x14ac:dyDescent="0.25">
      <c r="B295" s="9"/>
      <c r="C295" s="9"/>
      <c r="D295" s="9"/>
      <c r="E295" s="9"/>
      <c r="F295" s="9"/>
      <c r="G295" s="9"/>
      <c r="H295" s="9"/>
      <c r="I295" s="9"/>
    </row>
    <row r="296" spans="2:9" x14ac:dyDescent="0.25">
      <c r="B296" s="9"/>
      <c r="C296" s="9"/>
      <c r="D296" s="9"/>
      <c r="E296" s="9"/>
      <c r="F296" s="9"/>
      <c r="G296" s="9"/>
      <c r="H296" s="9"/>
      <c r="I296" s="9"/>
    </row>
    <row r="297" spans="2:9" x14ac:dyDescent="0.25">
      <c r="B297" s="9"/>
      <c r="C297" s="9"/>
      <c r="D297" s="9"/>
      <c r="E297" s="9"/>
      <c r="F297" s="9"/>
      <c r="G297" s="9"/>
      <c r="H297" s="9"/>
      <c r="I297" s="9"/>
    </row>
    <row r="298" spans="2:9" x14ac:dyDescent="0.25">
      <c r="B298" s="9"/>
      <c r="C298" s="9"/>
      <c r="D298" s="9"/>
      <c r="E298" s="9"/>
      <c r="F298" s="9"/>
      <c r="G298" s="9"/>
      <c r="H298" s="9"/>
      <c r="I298" s="9"/>
    </row>
    <row r="299" spans="2:9" x14ac:dyDescent="0.25">
      <c r="B299" s="9"/>
      <c r="C299" s="9"/>
      <c r="D299" s="9"/>
      <c r="E299" s="9"/>
      <c r="F299" s="9"/>
      <c r="G299" s="9"/>
      <c r="H299" s="9"/>
      <c r="I299" s="9"/>
    </row>
    <row r="300" spans="2:9" x14ac:dyDescent="0.25">
      <c r="B300" s="9"/>
      <c r="C300" s="9"/>
      <c r="D300" s="9"/>
      <c r="E300" s="9"/>
      <c r="F300" s="9"/>
      <c r="G300" s="9"/>
      <c r="H300" s="9"/>
      <c r="I300" s="9"/>
    </row>
    <row r="301" spans="2:9" x14ac:dyDescent="0.25">
      <c r="B301" s="9"/>
      <c r="C301" s="9"/>
      <c r="D301" s="9"/>
      <c r="E301" s="9"/>
      <c r="F301" s="9"/>
      <c r="G301" s="9"/>
      <c r="H301" s="9"/>
      <c r="I301" s="9"/>
    </row>
    <row r="302" spans="2:9" x14ac:dyDescent="0.25">
      <c r="B302" s="9"/>
      <c r="C302" s="9"/>
      <c r="D302" s="9"/>
      <c r="E302" s="9"/>
      <c r="F302" s="9"/>
      <c r="G302" s="9"/>
      <c r="H302" s="9"/>
      <c r="I302" s="9"/>
    </row>
    <row r="303" spans="2:9" x14ac:dyDescent="0.25">
      <c r="B303" s="9"/>
      <c r="C303" s="9"/>
      <c r="D303" s="9"/>
      <c r="E303" s="9"/>
      <c r="F303" s="9"/>
      <c r="G303" s="9"/>
      <c r="H303" s="9"/>
      <c r="I303" s="9"/>
    </row>
    <row r="304" spans="2:9" x14ac:dyDescent="0.25">
      <c r="B304" s="9"/>
      <c r="C304" s="9"/>
      <c r="D304" s="9"/>
      <c r="E304" s="9"/>
      <c r="F304" s="9"/>
      <c r="G304" s="9"/>
      <c r="H304" s="9"/>
      <c r="I304" s="9"/>
    </row>
    <row r="305" spans="2:9" x14ac:dyDescent="0.25">
      <c r="B305" s="9"/>
      <c r="C305" s="9"/>
      <c r="D305" s="9"/>
      <c r="E305" s="9"/>
      <c r="F305" s="9"/>
      <c r="G305" s="9"/>
      <c r="H305" s="9"/>
      <c r="I305" s="9"/>
    </row>
    <row r="306" spans="2:9" x14ac:dyDescent="0.25">
      <c r="B306" s="9"/>
      <c r="C306" s="9"/>
      <c r="D306" s="9"/>
      <c r="E306" s="9"/>
      <c r="F306" s="9"/>
      <c r="G306" s="9"/>
      <c r="H306" s="9"/>
      <c r="I306" s="9"/>
    </row>
    <row r="307" spans="2:9" x14ac:dyDescent="0.25">
      <c r="B307" s="9"/>
      <c r="C307" s="9"/>
      <c r="D307" s="9"/>
      <c r="E307" s="9"/>
      <c r="F307" s="9"/>
      <c r="G307" s="9"/>
      <c r="H307" s="9"/>
      <c r="I307" s="9"/>
    </row>
    <row r="308" spans="2:9" x14ac:dyDescent="0.25">
      <c r="B308" s="9"/>
      <c r="C308" s="9"/>
      <c r="D308" s="9"/>
      <c r="E308" s="9"/>
      <c r="F308" s="9"/>
      <c r="G308" s="9"/>
      <c r="H308" s="9"/>
      <c r="I308" s="9"/>
    </row>
    <row r="309" spans="2:9" x14ac:dyDescent="0.25">
      <c r="B309" s="9"/>
      <c r="C309" s="9"/>
      <c r="D309" s="9"/>
      <c r="E309" s="9"/>
      <c r="F309" s="9"/>
      <c r="G309" s="9"/>
      <c r="H309" s="9"/>
      <c r="I309" s="9"/>
    </row>
    <row r="310" spans="2:9" x14ac:dyDescent="0.25">
      <c r="B310" s="9"/>
      <c r="C310" s="9"/>
      <c r="D310" s="9"/>
      <c r="E310" s="9"/>
      <c r="F310" s="9"/>
      <c r="G310" s="9"/>
      <c r="H310" s="9"/>
      <c r="I310" s="9"/>
    </row>
    <row r="311" spans="2:9" x14ac:dyDescent="0.25">
      <c r="B311" s="9"/>
      <c r="C311" s="9"/>
      <c r="D311" s="9"/>
      <c r="E311" s="9"/>
      <c r="F311" s="9"/>
      <c r="G311" s="9"/>
      <c r="H311" s="9"/>
      <c r="I311" s="9"/>
    </row>
    <row r="312" spans="2:9" x14ac:dyDescent="0.25">
      <c r="B312" s="9"/>
      <c r="C312" s="9"/>
      <c r="D312" s="9"/>
      <c r="E312" s="9"/>
      <c r="F312" s="9"/>
      <c r="G312" s="9"/>
      <c r="H312" s="9"/>
      <c r="I312" s="9"/>
    </row>
    <row r="313" spans="2:9" x14ac:dyDescent="0.25">
      <c r="B313" s="9"/>
      <c r="C313" s="9"/>
      <c r="D313" s="9"/>
      <c r="E313" s="9"/>
      <c r="F313" s="9"/>
      <c r="G313" s="9"/>
      <c r="H313" s="9"/>
      <c r="I313" s="9"/>
    </row>
    <row r="314" spans="2:9" x14ac:dyDescent="0.25">
      <c r="B314" s="9"/>
      <c r="C314" s="9"/>
      <c r="D314" s="9"/>
      <c r="E314" s="9"/>
      <c r="F314" s="9"/>
      <c r="G314" s="9"/>
      <c r="H314" s="9"/>
      <c r="I314" s="9"/>
    </row>
    <row r="315" spans="2:9" x14ac:dyDescent="0.25">
      <c r="B315" s="9"/>
      <c r="C315" s="9"/>
      <c r="D315" s="9"/>
      <c r="E315" s="9"/>
      <c r="F315" s="9"/>
      <c r="G315" s="9"/>
      <c r="H315" s="9"/>
      <c r="I315" s="9"/>
    </row>
    <row r="316" spans="2:9" x14ac:dyDescent="0.25">
      <c r="B316" s="9"/>
      <c r="C316" s="9"/>
      <c r="D316" s="9"/>
      <c r="E316" s="9"/>
      <c r="F316" s="9"/>
      <c r="G316" s="9"/>
      <c r="H316" s="9"/>
      <c r="I316" s="9"/>
    </row>
    <row r="317" spans="2:9" x14ac:dyDescent="0.25">
      <c r="B317" s="9"/>
      <c r="C317" s="9"/>
      <c r="D317" s="9"/>
      <c r="E317" s="9"/>
      <c r="F317" s="9"/>
      <c r="G317" s="9"/>
      <c r="H317" s="9"/>
      <c r="I317" s="9"/>
    </row>
    <row r="318" spans="2:9" x14ac:dyDescent="0.25">
      <c r="B318" s="9"/>
      <c r="C318" s="9"/>
      <c r="D318" s="9"/>
      <c r="E318" s="9"/>
      <c r="F318" s="9"/>
      <c r="G318" s="9"/>
      <c r="H318" s="9"/>
      <c r="I318" s="9"/>
    </row>
    <row r="319" spans="2:9" x14ac:dyDescent="0.25">
      <c r="B319" s="9"/>
      <c r="C319" s="9"/>
      <c r="D319" s="9"/>
      <c r="E319" s="9"/>
      <c r="F319" s="9"/>
      <c r="G319" s="9"/>
      <c r="H319" s="9"/>
      <c r="I319" s="9"/>
    </row>
    <row r="320" spans="2:9" x14ac:dyDescent="0.25">
      <c r="B320" s="9"/>
      <c r="C320" s="9"/>
      <c r="D320" s="9"/>
      <c r="E320" s="9"/>
      <c r="F320" s="9"/>
      <c r="G320" s="9"/>
      <c r="H320" s="9"/>
      <c r="I320" s="9"/>
    </row>
    <row r="321" spans="2:9" x14ac:dyDescent="0.25">
      <c r="B321" s="9"/>
      <c r="C321" s="9"/>
      <c r="D321" s="9"/>
      <c r="E321" s="9"/>
      <c r="F321" s="9"/>
      <c r="G321" s="9"/>
      <c r="H321" s="9"/>
      <c r="I321" s="9"/>
    </row>
    <row r="322" spans="2:9" x14ac:dyDescent="0.25">
      <c r="B322" s="9"/>
      <c r="C322" s="9"/>
      <c r="D322" s="9"/>
      <c r="E322" s="9"/>
      <c r="F322" s="9"/>
      <c r="G322" s="9"/>
      <c r="H322" s="9"/>
      <c r="I322" s="9"/>
    </row>
    <row r="323" spans="2:9" x14ac:dyDescent="0.25">
      <c r="B323" s="9"/>
      <c r="C323" s="9"/>
      <c r="D323" s="9"/>
      <c r="E323" s="9"/>
      <c r="F323" s="9"/>
      <c r="G323" s="9"/>
      <c r="H323" s="9"/>
      <c r="I323" s="9"/>
    </row>
    <row r="324" spans="2:9" x14ac:dyDescent="0.25">
      <c r="B324" s="9"/>
      <c r="C324" s="9"/>
      <c r="D324" s="9"/>
      <c r="E324" s="9"/>
      <c r="F324" s="9"/>
      <c r="G324" s="9"/>
      <c r="H324" s="9"/>
      <c r="I324" s="9"/>
    </row>
    <row r="325" spans="2:9" x14ac:dyDescent="0.25">
      <c r="B325" s="9"/>
      <c r="C325" s="9"/>
      <c r="D325" s="9"/>
      <c r="E325" s="9"/>
      <c r="F325" s="9"/>
      <c r="G325" s="9"/>
      <c r="H325" s="9"/>
      <c r="I325" s="9"/>
    </row>
    <row r="326" spans="2:9" x14ac:dyDescent="0.25">
      <c r="B326" s="9"/>
      <c r="C326" s="9"/>
      <c r="D326" s="9"/>
      <c r="E326" s="9"/>
      <c r="F326" s="9"/>
      <c r="G326" s="9"/>
      <c r="H326" s="9"/>
      <c r="I326" s="9"/>
    </row>
    <row r="327" spans="2:9" x14ac:dyDescent="0.25">
      <c r="B327" s="9"/>
      <c r="C327" s="9"/>
      <c r="D327" s="9"/>
      <c r="E327" s="9"/>
      <c r="F327" s="9"/>
      <c r="G327" s="9"/>
      <c r="H327" s="9"/>
      <c r="I327" s="9"/>
    </row>
    <row r="328" spans="2:9" x14ac:dyDescent="0.25">
      <c r="B328" s="9"/>
      <c r="C328" s="9"/>
      <c r="D328" s="9"/>
      <c r="E328" s="9"/>
      <c r="F328" s="9"/>
      <c r="G328" s="9"/>
      <c r="H328" s="9"/>
      <c r="I328" s="9"/>
    </row>
    <row r="329" spans="2:9" x14ac:dyDescent="0.25">
      <c r="B329" s="9"/>
      <c r="C329" s="9"/>
      <c r="D329" s="9"/>
      <c r="E329" s="9"/>
      <c r="F329" s="9"/>
      <c r="G329" s="9"/>
      <c r="H329" s="9"/>
      <c r="I329" s="9"/>
    </row>
    <row r="330" spans="2:9" x14ac:dyDescent="0.25">
      <c r="B330" s="9"/>
      <c r="C330" s="9"/>
      <c r="D330" s="9"/>
      <c r="E330" s="9"/>
      <c r="F330" s="9"/>
      <c r="G330" s="9"/>
      <c r="H330" s="9"/>
      <c r="I330" s="9"/>
    </row>
    <row r="331" spans="2:9" x14ac:dyDescent="0.25">
      <c r="B331" s="9"/>
      <c r="C331" s="9"/>
      <c r="D331" s="9"/>
      <c r="E331" s="9"/>
      <c r="F331" s="9"/>
      <c r="G331" s="9"/>
      <c r="H331" s="9"/>
      <c r="I331" s="9"/>
    </row>
    <row r="332" spans="2:9" x14ac:dyDescent="0.25">
      <c r="B332" s="9"/>
      <c r="C332" s="9"/>
      <c r="D332" s="9"/>
      <c r="E332" s="9"/>
      <c r="F332" s="9"/>
      <c r="G332" s="9"/>
      <c r="H332" s="9"/>
      <c r="I332" s="9"/>
    </row>
    <row r="333" spans="2:9" x14ac:dyDescent="0.25">
      <c r="B333" s="9"/>
      <c r="C333" s="9"/>
      <c r="D333" s="9"/>
      <c r="E333" s="9"/>
      <c r="F333" s="9"/>
      <c r="G333" s="9"/>
      <c r="H333" s="9"/>
      <c r="I333" s="9"/>
    </row>
    <row r="334" spans="2:9" x14ac:dyDescent="0.25">
      <c r="B334" s="9"/>
      <c r="C334" s="9"/>
      <c r="D334" s="9"/>
      <c r="E334" s="9"/>
      <c r="F334" s="9"/>
      <c r="G334" s="9"/>
      <c r="H334" s="9"/>
      <c r="I334" s="9"/>
    </row>
    <row r="335" spans="2:9" x14ac:dyDescent="0.25">
      <c r="B335" s="9"/>
      <c r="C335" s="9"/>
      <c r="D335" s="9"/>
      <c r="E335" s="9"/>
      <c r="F335" s="9"/>
      <c r="G335" s="9"/>
      <c r="H335" s="9"/>
      <c r="I335" s="9"/>
    </row>
    <row r="336" spans="2:9" x14ac:dyDescent="0.25">
      <c r="B336" s="9"/>
      <c r="C336" s="9"/>
      <c r="D336" s="9"/>
      <c r="E336" s="9"/>
      <c r="F336" s="9"/>
      <c r="G336" s="9"/>
      <c r="H336" s="9"/>
      <c r="I336" s="9"/>
    </row>
    <row r="337" spans="2:9" x14ac:dyDescent="0.25">
      <c r="B337" s="9"/>
      <c r="C337" s="9"/>
      <c r="D337" s="9"/>
      <c r="E337" s="9"/>
      <c r="F337" s="9"/>
      <c r="G337" s="9"/>
      <c r="H337" s="9"/>
      <c r="I337" s="9"/>
    </row>
    <row r="338" spans="2:9" x14ac:dyDescent="0.25">
      <c r="B338" s="9"/>
      <c r="C338" s="9"/>
      <c r="D338" s="9"/>
      <c r="E338" s="9"/>
      <c r="F338" s="9"/>
      <c r="G338" s="9"/>
      <c r="H338" s="9"/>
      <c r="I338" s="9"/>
    </row>
    <row r="339" spans="2:9" x14ac:dyDescent="0.25">
      <c r="B339" s="9"/>
      <c r="C339" s="9"/>
      <c r="D339" s="9"/>
      <c r="E339" s="9"/>
      <c r="F339" s="9"/>
      <c r="G339" s="9"/>
      <c r="H339" s="9"/>
      <c r="I339" s="9"/>
    </row>
    <row r="340" spans="2:9" x14ac:dyDescent="0.25">
      <c r="B340" s="9"/>
      <c r="C340" s="9"/>
      <c r="D340" s="9"/>
      <c r="E340" s="9"/>
      <c r="F340" s="9"/>
      <c r="G340" s="9"/>
      <c r="H340" s="9"/>
      <c r="I340" s="9"/>
    </row>
    <row r="341" spans="2:9" x14ac:dyDescent="0.25">
      <c r="B341" s="9"/>
      <c r="C341" s="9"/>
      <c r="D341" s="9"/>
      <c r="E341" s="9"/>
      <c r="F341" s="9"/>
      <c r="G341" s="9"/>
      <c r="H341" s="9"/>
      <c r="I341" s="9"/>
    </row>
    <row r="342" spans="2:9" x14ac:dyDescent="0.25">
      <c r="B342" s="9"/>
      <c r="C342" s="9"/>
      <c r="D342" s="9"/>
      <c r="E342" s="9"/>
      <c r="F342" s="9"/>
      <c r="G342" s="9"/>
      <c r="H342" s="9"/>
      <c r="I342" s="9"/>
    </row>
    <row r="343" spans="2:9" x14ac:dyDescent="0.25">
      <c r="B343" s="9"/>
      <c r="C343" s="9"/>
      <c r="D343" s="9"/>
      <c r="E343" s="9"/>
      <c r="F343" s="9"/>
      <c r="G343" s="9"/>
      <c r="H343" s="9"/>
      <c r="I343" s="9"/>
    </row>
    <row r="344" spans="2:9" x14ac:dyDescent="0.25">
      <c r="B344" s="9"/>
      <c r="C344" s="9"/>
      <c r="D344" s="9"/>
      <c r="E344" s="9"/>
      <c r="F344" s="9"/>
      <c r="G344" s="9"/>
      <c r="H344" s="9"/>
      <c r="I344" s="9"/>
    </row>
    <row r="345" spans="2:9" x14ac:dyDescent="0.25">
      <c r="B345" s="9"/>
      <c r="C345" s="9"/>
      <c r="D345" s="9"/>
      <c r="E345" s="9"/>
      <c r="F345" s="9"/>
      <c r="G345" s="9"/>
      <c r="H345" s="9"/>
      <c r="I345" s="9"/>
    </row>
    <row r="346" spans="2:9" x14ac:dyDescent="0.25">
      <c r="B346" s="9"/>
      <c r="C346" s="9"/>
      <c r="D346" s="9"/>
      <c r="E346" s="9"/>
      <c r="F346" s="9"/>
      <c r="G346" s="9"/>
      <c r="H346" s="9"/>
      <c r="I346" s="9"/>
    </row>
    <row r="347" spans="2:9" x14ac:dyDescent="0.25">
      <c r="B347" s="9"/>
      <c r="C347" s="9"/>
      <c r="D347" s="9"/>
      <c r="E347" s="9"/>
      <c r="F347" s="9"/>
      <c r="G347" s="9"/>
      <c r="H347" s="9"/>
      <c r="I347" s="9"/>
    </row>
    <row r="348" spans="2:9" x14ac:dyDescent="0.25">
      <c r="B348" s="9"/>
      <c r="C348" s="9"/>
      <c r="D348" s="9"/>
      <c r="E348" s="9"/>
      <c r="F348" s="9"/>
      <c r="G348" s="9"/>
      <c r="H348" s="9"/>
      <c r="I348" s="9"/>
    </row>
    <row r="349" spans="2:9" x14ac:dyDescent="0.25">
      <c r="B349" s="9"/>
      <c r="C349" s="9"/>
      <c r="D349" s="9"/>
      <c r="E349" s="9"/>
      <c r="F349" s="9"/>
      <c r="G349" s="9"/>
      <c r="H349" s="9"/>
      <c r="I349" s="9"/>
    </row>
    <row r="350" spans="2:9" x14ac:dyDescent="0.25">
      <c r="B350" s="9"/>
      <c r="C350" s="9"/>
      <c r="D350" s="9"/>
      <c r="E350" s="9"/>
      <c r="F350" s="9"/>
      <c r="G350" s="9"/>
      <c r="H350" s="9"/>
      <c r="I350" s="9"/>
    </row>
    <row r="351" spans="2:9" x14ac:dyDescent="0.25">
      <c r="B351" s="9"/>
      <c r="C351" s="9"/>
      <c r="D351" s="9"/>
      <c r="E351" s="9"/>
      <c r="F351" s="9"/>
      <c r="G351" s="9"/>
      <c r="H351" s="9"/>
      <c r="I351" s="9"/>
    </row>
    <row r="352" spans="2:9" x14ac:dyDescent="0.25">
      <c r="B352" s="9"/>
      <c r="C352" s="9"/>
      <c r="D352" s="9"/>
      <c r="E352" s="9"/>
      <c r="F352" s="9"/>
      <c r="G352" s="9"/>
      <c r="H352" s="9"/>
      <c r="I352" s="9"/>
    </row>
    <row r="353" spans="2:9" x14ac:dyDescent="0.25">
      <c r="B353" s="9"/>
      <c r="C353" s="9"/>
      <c r="D353" s="9"/>
      <c r="E353" s="9"/>
      <c r="F353" s="9"/>
      <c r="G353" s="9"/>
      <c r="H353" s="9"/>
      <c r="I353" s="9"/>
    </row>
    <row r="354" spans="2:9" x14ac:dyDescent="0.25">
      <c r="B354" s="9"/>
      <c r="C354" s="9"/>
      <c r="D354" s="9"/>
      <c r="E354" s="9"/>
      <c r="F354" s="9"/>
      <c r="G354" s="9"/>
      <c r="H354" s="9"/>
      <c r="I354" s="9"/>
    </row>
    <row r="355" spans="2:9" x14ac:dyDescent="0.25">
      <c r="B355" s="9"/>
      <c r="C355" s="9"/>
      <c r="D355" s="9"/>
      <c r="E355" s="9"/>
      <c r="F355" s="9"/>
      <c r="G355" s="9"/>
      <c r="H355" s="9"/>
      <c r="I355" s="9"/>
    </row>
    <row r="356" spans="2:9" x14ac:dyDescent="0.25">
      <c r="B356" s="9"/>
      <c r="C356" s="9"/>
      <c r="D356" s="9"/>
      <c r="E356" s="9"/>
      <c r="F356" s="9"/>
      <c r="G356" s="9"/>
      <c r="H356" s="9"/>
      <c r="I356" s="9"/>
    </row>
    <row r="357" spans="2:9" x14ac:dyDescent="0.25">
      <c r="B357" s="9"/>
      <c r="C357" s="9"/>
      <c r="D357" s="9"/>
      <c r="E357" s="9"/>
      <c r="F357" s="9"/>
      <c r="G357" s="9"/>
      <c r="H357" s="9"/>
      <c r="I357" s="9"/>
    </row>
    <row r="358" spans="2:9" x14ac:dyDescent="0.25">
      <c r="B358" s="9"/>
      <c r="C358" s="9"/>
      <c r="D358" s="9"/>
      <c r="E358" s="9"/>
      <c r="F358" s="9"/>
      <c r="G358" s="9"/>
      <c r="H358" s="9"/>
      <c r="I358" s="9"/>
    </row>
    <row r="359" spans="2:9" x14ac:dyDescent="0.25">
      <c r="B359" s="9"/>
      <c r="C359" s="9"/>
      <c r="D359" s="9"/>
      <c r="E359" s="9"/>
      <c r="F359" s="9"/>
      <c r="G359" s="9"/>
      <c r="H359" s="9"/>
      <c r="I359" s="9"/>
    </row>
    <row r="360" spans="2:9" x14ac:dyDescent="0.25">
      <c r="B360" s="9"/>
      <c r="C360" s="9"/>
      <c r="D360" s="9"/>
      <c r="E360" s="9"/>
      <c r="F360" s="9"/>
      <c r="G360" s="9"/>
      <c r="H360" s="9"/>
      <c r="I360" s="9"/>
    </row>
    <row r="361" spans="2:9" x14ac:dyDescent="0.25">
      <c r="B361" s="9"/>
      <c r="C361" s="9"/>
      <c r="D361" s="9"/>
      <c r="E361" s="9"/>
      <c r="F361" s="9"/>
      <c r="G361" s="9"/>
      <c r="H361" s="9"/>
      <c r="I361" s="9"/>
    </row>
    <row r="362" spans="2:9" x14ac:dyDescent="0.25">
      <c r="B362" s="9"/>
      <c r="C362" s="9"/>
      <c r="D362" s="9"/>
      <c r="E362" s="9"/>
      <c r="F362" s="9"/>
      <c r="G362" s="9"/>
      <c r="H362" s="9"/>
      <c r="I362" s="9"/>
    </row>
    <row r="363" spans="2:9" x14ac:dyDescent="0.25">
      <c r="B363" s="9"/>
      <c r="C363" s="9"/>
      <c r="D363" s="9"/>
      <c r="E363" s="9"/>
      <c r="F363" s="9"/>
      <c r="G363" s="9"/>
      <c r="H363" s="9"/>
      <c r="I363" s="9"/>
    </row>
    <row r="364" spans="2:9" x14ac:dyDescent="0.25">
      <c r="B364" s="9"/>
      <c r="C364" s="9"/>
      <c r="D364" s="9"/>
      <c r="E364" s="9"/>
      <c r="F364" s="9"/>
      <c r="G364" s="9"/>
      <c r="H364" s="9"/>
      <c r="I364" s="9"/>
    </row>
    <row r="365" spans="2:9" x14ac:dyDescent="0.25">
      <c r="B365" s="9"/>
      <c r="C365" s="9"/>
      <c r="D365" s="9"/>
      <c r="E365" s="9"/>
      <c r="F365" s="9"/>
      <c r="G365" s="9"/>
      <c r="H365" s="9"/>
      <c r="I365" s="9"/>
    </row>
    <row r="366" spans="2:9" x14ac:dyDescent="0.25">
      <c r="B366" s="9"/>
      <c r="C366" s="9"/>
      <c r="D366" s="9"/>
      <c r="E366" s="9"/>
      <c r="F366" s="9"/>
      <c r="G366" s="9"/>
      <c r="H366" s="9"/>
      <c r="I366" s="9"/>
    </row>
    <row r="367" spans="2:9" x14ac:dyDescent="0.25">
      <c r="B367" s="9"/>
      <c r="C367" s="9"/>
      <c r="D367" s="9"/>
      <c r="E367" s="9"/>
      <c r="F367" s="9"/>
      <c r="G367" s="9"/>
      <c r="H367" s="9"/>
      <c r="I367" s="9"/>
    </row>
    <row r="368" spans="2:9" x14ac:dyDescent="0.25">
      <c r="B368" s="9"/>
      <c r="C368" s="9"/>
      <c r="D368" s="9"/>
      <c r="E368" s="9"/>
      <c r="F368" s="9"/>
      <c r="G368" s="9"/>
      <c r="H368" s="9"/>
      <c r="I368" s="9"/>
    </row>
    <row r="369" spans="2:9" x14ac:dyDescent="0.25">
      <c r="B369" s="9"/>
      <c r="C369" s="9"/>
      <c r="D369" s="9"/>
      <c r="E369" s="9"/>
      <c r="F369" s="9"/>
      <c r="G369" s="9"/>
      <c r="H369" s="9"/>
      <c r="I369" s="9"/>
    </row>
    <row r="370" spans="2:9" x14ac:dyDescent="0.25">
      <c r="B370" s="9"/>
      <c r="C370" s="9"/>
      <c r="D370" s="9"/>
      <c r="E370" s="9"/>
      <c r="F370" s="9"/>
      <c r="G370" s="9"/>
      <c r="H370" s="9"/>
      <c r="I370" s="9"/>
    </row>
    <row r="371" spans="2:9" x14ac:dyDescent="0.25">
      <c r="B371" s="9"/>
      <c r="C371" s="9"/>
      <c r="D371" s="9"/>
      <c r="E371" s="9"/>
      <c r="F371" s="9"/>
      <c r="G371" s="9"/>
      <c r="H371" s="9"/>
      <c r="I371" s="9"/>
    </row>
    <row r="372" spans="2:9" x14ac:dyDescent="0.25">
      <c r="B372" s="9"/>
      <c r="C372" s="9"/>
      <c r="D372" s="9"/>
      <c r="E372" s="9"/>
      <c r="F372" s="9"/>
      <c r="G372" s="9"/>
      <c r="H372" s="9"/>
      <c r="I372" s="9"/>
    </row>
    <row r="373" spans="2:9" x14ac:dyDescent="0.25">
      <c r="B373" s="9"/>
      <c r="C373" s="9"/>
      <c r="D373" s="9"/>
      <c r="E373" s="9"/>
      <c r="F373" s="9"/>
      <c r="G373" s="9"/>
      <c r="H373" s="9"/>
      <c r="I373" s="9"/>
    </row>
    <row r="374" spans="2:9" x14ac:dyDescent="0.25">
      <c r="B374" s="9"/>
      <c r="C374" s="9"/>
      <c r="D374" s="9"/>
      <c r="E374" s="9"/>
      <c r="F374" s="9"/>
      <c r="G374" s="9"/>
      <c r="H374" s="9"/>
      <c r="I374" s="9"/>
    </row>
    <row r="375" spans="2:9" x14ac:dyDescent="0.25">
      <c r="B375" s="9"/>
      <c r="C375" s="9"/>
      <c r="D375" s="9"/>
      <c r="E375" s="9"/>
      <c r="F375" s="9"/>
      <c r="G375" s="9"/>
      <c r="H375" s="9"/>
      <c r="I375" s="9"/>
    </row>
    <row r="376" spans="2:9" x14ac:dyDescent="0.25">
      <c r="B376" s="9"/>
      <c r="C376" s="9"/>
      <c r="D376" s="9"/>
      <c r="E376" s="9"/>
      <c r="F376" s="9"/>
      <c r="G376" s="9"/>
      <c r="H376" s="9"/>
      <c r="I376" s="9"/>
    </row>
    <row r="377" spans="2:9" x14ac:dyDescent="0.25">
      <c r="B377" s="9"/>
      <c r="C377" s="9"/>
      <c r="D377" s="9"/>
      <c r="E377" s="9"/>
      <c r="F377" s="9"/>
      <c r="G377" s="9"/>
      <c r="H377" s="9"/>
      <c r="I377" s="9"/>
    </row>
    <row r="378" spans="2:9" x14ac:dyDescent="0.25">
      <c r="B378" s="9"/>
      <c r="C378" s="9"/>
      <c r="D378" s="9"/>
      <c r="E378" s="9"/>
      <c r="F378" s="9"/>
      <c r="G378" s="9"/>
      <c r="H378" s="9"/>
      <c r="I378" s="9"/>
    </row>
    <row r="379" spans="2:9" x14ac:dyDescent="0.25">
      <c r="B379" s="9"/>
      <c r="C379" s="9"/>
      <c r="D379" s="9"/>
      <c r="E379" s="9"/>
      <c r="F379" s="9"/>
      <c r="G379" s="9"/>
      <c r="H379" s="9"/>
      <c r="I379" s="9"/>
    </row>
    <row r="380" spans="2:9" x14ac:dyDescent="0.25">
      <c r="B380" s="9"/>
      <c r="C380" s="9"/>
      <c r="D380" s="9"/>
      <c r="E380" s="9"/>
      <c r="F380" s="9"/>
      <c r="G380" s="9"/>
      <c r="H380" s="9"/>
      <c r="I380" s="9"/>
    </row>
    <row r="381" spans="2:9" x14ac:dyDescent="0.25">
      <c r="B381" s="9"/>
      <c r="C381" s="9"/>
      <c r="D381" s="9"/>
      <c r="E381" s="9"/>
      <c r="F381" s="9"/>
      <c r="G381" s="9"/>
      <c r="H381" s="9"/>
      <c r="I381" s="9"/>
    </row>
    <row r="382" spans="2:9" x14ac:dyDescent="0.25">
      <c r="B382" s="9"/>
      <c r="C382" s="9"/>
      <c r="D382" s="9"/>
      <c r="E382" s="9"/>
      <c r="F382" s="9"/>
      <c r="G382" s="9"/>
      <c r="H382" s="9"/>
      <c r="I382" s="9"/>
    </row>
    <row r="383" spans="2:9" x14ac:dyDescent="0.25">
      <c r="B383" s="9"/>
      <c r="C383" s="9"/>
      <c r="D383" s="9"/>
      <c r="E383" s="9"/>
      <c r="F383" s="9"/>
      <c r="G383" s="9"/>
      <c r="H383" s="9"/>
      <c r="I383" s="9"/>
    </row>
    <row r="384" spans="2:9" x14ac:dyDescent="0.25">
      <c r="B384" s="9"/>
      <c r="C384" s="9"/>
      <c r="D384" s="9"/>
      <c r="E384" s="9"/>
      <c r="F384" s="9"/>
      <c r="G384" s="9"/>
      <c r="H384" s="9"/>
      <c r="I384" s="9"/>
    </row>
    <row r="385" spans="2:9" x14ac:dyDescent="0.25">
      <c r="B385" s="9"/>
      <c r="C385" s="9"/>
      <c r="D385" s="9"/>
      <c r="E385" s="9"/>
      <c r="F385" s="9"/>
      <c r="G385" s="9"/>
      <c r="H385" s="9"/>
      <c r="I385" s="9"/>
    </row>
    <row r="386" spans="2:9" x14ac:dyDescent="0.25">
      <c r="B386" s="9"/>
      <c r="C386" s="9"/>
      <c r="D386" s="9"/>
      <c r="E386" s="9"/>
      <c r="F386" s="9"/>
      <c r="G386" s="9"/>
      <c r="H386" s="9"/>
      <c r="I386" s="9"/>
    </row>
    <row r="387" spans="2:9" x14ac:dyDescent="0.25">
      <c r="B387" s="9"/>
      <c r="C387" s="9"/>
      <c r="D387" s="9"/>
      <c r="E387" s="9"/>
      <c r="F387" s="9"/>
      <c r="G387" s="9"/>
      <c r="H387" s="9"/>
      <c r="I387" s="9"/>
    </row>
    <row r="388" spans="2:9" x14ac:dyDescent="0.25">
      <c r="B388" s="9"/>
      <c r="C388" s="9"/>
      <c r="D388" s="9"/>
      <c r="E388" s="9"/>
      <c r="F388" s="9"/>
      <c r="G388" s="9"/>
      <c r="H388" s="9"/>
      <c r="I388" s="9"/>
    </row>
    <row r="389" spans="2:9" x14ac:dyDescent="0.25">
      <c r="B389" s="9"/>
      <c r="C389" s="9"/>
      <c r="D389" s="9"/>
      <c r="E389" s="9"/>
      <c r="F389" s="9"/>
      <c r="G389" s="9"/>
      <c r="H389" s="9"/>
      <c r="I389" s="9"/>
    </row>
    <row r="390" spans="2:9" x14ac:dyDescent="0.25">
      <c r="B390" s="9"/>
      <c r="C390" s="9"/>
      <c r="D390" s="9"/>
      <c r="E390" s="9"/>
      <c r="F390" s="9"/>
      <c r="G390" s="9"/>
      <c r="H390" s="9"/>
      <c r="I390" s="9"/>
    </row>
    <row r="391" spans="2:9" x14ac:dyDescent="0.25">
      <c r="B391" s="9"/>
      <c r="C391" s="9"/>
      <c r="D391" s="9"/>
      <c r="E391" s="9"/>
      <c r="F391" s="9"/>
      <c r="G391" s="9"/>
      <c r="H391" s="9"/>
      <c r="I391" s="9"/>
    </row>
    <row r="392" spans="2:9" x14ac:dyDescent="0.25">
      <c r="B392" s="9"/>
      <c r="C392" s="9"/>
      <c r="D392" s="9"/>
      <c r="E392" s="9"/>
      <c r="F392" s="9"/>
      <c r="G392" s="9"/>
      <c r="H392" s="9"/>
      <c r="I392" s="9"/>
    </row>
    <row r="393" spans="2:9" x14ac:dyDescent="0.25">
      <c r="B393" s="9"/>
      <c r="C393" s="9"/>
      <c r="D393" s="9"/>
      <c r="E393" s="9"/>
      <c r="F393" s="9"/>
      <c r="G393" s="9"/>
      <c r="H393" s="9"/>
      <c r="I393" s="9"/>
    </row>
    <row r="394" spans="2:9" x14ac:dyDescent="0.25">
      <c r="B394" s="9"/>
      <c r="C394" s="9"/>
      <c r="D394" s="9"/>
      <c r="E394" s="9"/>
      <c r="F394" s="9"/>
      <c r="G394" s="9"/>
      <c r="H394" s="9"/>
      <c r="I394" s="9"/>
    </row>
    <row r="395" spans="2:9" x14ac:dyDescent="0.25">
      <c r="B395" s="9"/>
      <c r="C395" s="9"/>
      <c r="D395" s="9"/>
      <c r="E395" s="9"/>
      <c r="F395" s="9"/>
      <c r="G395" s="9"/>
      <c r="H395" s="9"/>
      <c r="I395" s="9"/>
    </row>
    <row r="396" spans="2:9" x14ac:dyDescent="0.25">
      <c r="B396" s="9"/>
      <c r="C396" s="9"/>
      <c r="D396" s="9"/>
      <c r="E396" s="9"/>
      <c r="F396" s="9"/>
      <c r="G396" s="9"/>
      <c r="H396" s="9"/>
      <c r="I396" s="9"/>
    </row>
    <row r="397" spans="2:9" x14ac:dyDescent="0.25">
      <c r="B397" s="9"/>
      <c r="C397" s="9"/>
      <c r="D397" s="9"/>
      <c r="E397" s="9"/>
      <c r="F397" s="9"/>
      <c r="G397" s="9"/>
      <c r="H397" s="9"/>
      <c r="I397" s="9"/>
    </row>
    <row r="398" spans="2:9" x14ac:dyDescent="0.25">
      <c r="B398" s="9"/>
      <c r="C398" s="9"/>
      <c r="D398" s="9"/>
      <c r="E398" s="9"/>
      <c r="F398" s="9"/>
      <c r="G398" s="9"/>
      <c r="H398" s="9"/>
      <c r="I398" s="9"/>
    </row>
    <row r="399" spans="2:9" x14ac:dyDescent="0.25">
      <c r="B399" s="9"/>
      <c r="C399" s="9"/>
      <c r="D399" s="9"/>
      <c r="E399" s="9"/>
      <c r="F399" s="9"/>
      <c r="G399" s="9"/>
      <c r="H399" s="9"/>
      <c r="I399" s="9"/>
    </row>
    <row r="400" spans="2:9" x14ac:dyDescent="0.25">
      <c r="B400" s="9"/>
      <c r="C400" s="9"/>
      <c r="D400" s="9"/>
      <c r="E400" s="9"/>
      <c r="F400" s="9"/>
      <c r="G400" s="9"/>
      <c r="H400" s="9"/>
      <c r="I400" s="9"/>
    </row>
    <row r="401" spans="2:9" x14ac:dyDescent="0.25">
      <c r="B401" s="9"/>
      <c r="C401" s="9"/>
      <c r="D401" s="9"/>
      <c r="E401" s="9"/>
      <c r="F401" s="9"/>
      <c r="G401" s="9"/>
      <c r="H401" s="9"/>
      <c r="I401" s="9"/>
    </row>
    <row r="402" spans="2:9" x14ac:dyDescent="0.25">
      <c r="B402" s="9"/>
      <c r="C402" s="9"/>
      <c r="D402" s="9"/>
      <c r="E402" s="9"/>
      <c r="F402" s="9"/>
      <c r="G402" s="9"/>
      <c r="H402" s="9"/>
      <c r="I402" s="9"/>
    </row>
    <row r="403" spans="2:9" x14ac:dyDescent="0.25">
      <c r="B403" s="9"/>
      <c r="C403" s="9"/>
      <c r="D403" s="9"/>
      <c r="E403" s="9"/>
      <c r="F403" s="9"/>
      <c r="G403" s="9"/>
      <c r="H403" s="9"/>
      <c r="I403" s="9"/>
    </row>
    <row r="404" spans="2:9" x14ac:dyDescent="0.25">
      <c r="B404" s="9"/>
      <c r="C404" s="9"/>
      <c r="D404" s="9"/>
      <c r="E404" s="9"/>
      <c r="F404" s="9"/>
      <c r="G404" s="9"/>
      <c r="H404" s="9"/>
      <c r="I404" s="9"/>
    </row>
    <row r="405" spans="2:9" x14ac:dyDescent="0.25">
      <c r="B405" s="9"/>
      <c r="C405" s="9"/>
      <c r="D405" s="9"/>
      <c r="E405" s="9"/>
      <c r="F405" s="9"/>
      <c r="G405" s="9"/>
      <c r="H405" s="9"/>
      <c r="I405" s="9"/>
    </row>
    <row r="406" spans="2:9" x14ac:dyDescent="0.25">
      <c r="B406" s="9"/>
      <c r="C406" s="9"/>
      <c r="D406" s="9"/>
      <c r="E406" s="9"/>
      <c r="F406" s="9"/>
      <c r="G406" s="9"/>
      <c r="H406" s="9"/>
      <c r="I406" s="9"/>
    </row>
    <row r="407" spans="2:9" x14ac:dyDescent="0.25">
      <c r="B407" s="9"/>
      <c r="C407" s="9"/>
      <c r="D407" s="9"/>
      <c r="E407" s="9"/>
      <c r="F407" s="9"/>
      <c r="G407" s="9"/>
      <c r="H407" s="9"/>
      <c r="I407" s="9"/>
    </row>
    <row r="408" spans="2:9" x14ac:dyDescent="0.25">
      <c r="B408" s="9"/>
      <c r="C408" s="9"/>
      <c r="D408" s="9"/>
      <c r="E408" s="9"/>
      <c r="F408" s="9"/>
      <c r="G408" s="9"/>
      <c r="H408" s="9"/>
      <c r="I408" s="9"/>
    </row>
    <row r="409" spans="2:9" x14ac:dyDescent="0.25">
      <c r="B409" s="9"/>
      <c r="C409" s="9"/>
      <c r="D409" s="9"/>
      <c r="E409" s="9"/>
      <c r="F409" s="9"/>
      <c r="G409" s="9"/>
      <c r="H409" s="9"/>
      <c r="I409" s="9"/>
    </row>
    <row r="410" spans="2:9" x14ac:dyDescent="0.25">
      <c r="B410" s="9"/>
      <c r="C410" s="9"/>
      <c r="D410" s="9"/>
      <c r="E410" s="9"/>
      <c r="F410" s="9"/>
      <c r="G410" s="9"/>
      <c r="H410" s="9"/>
      <c r="I410" s="9"/>
    </row>
    <row r="411" spans="2:9" x14ac:dyDescent="0.25">
      <c r="B411" s="9"/>
      <c r="C411" s="9"/>
      <c r="D411" s="9"/>
      <c r="E411" s="9"/>
      <c r="F411" s="9"/>
      <c r="G411" s="9"/>
      <c r="H411" s="9"/>
      <c r="I411" s="9"/>
    </row>
    <row r="412" spans="2:9" x14ac:dyDescent="0.25">
      <c r="B412" s="9"/>
      <c r="C412" s="9"/>
      <c r="D412" s="9"/>
      <c r="E412" s="9"/>
      <c r="F412" s="9"/>
      <c r="G412" s="9"/>
      <c r="H412" s="9"/>
      <c r="I412" s="9"/>
    </row>
    <row r="413" spans="2:9" x14ac:dyDescent="0.25">
      <c r="B413" s="9"/>
      <c r="C413" s="9"/>
      <c r="D413" s="9"/>
      <c r="E413" s="9"/>
      <c r="F413" s="9"/>
      <c r="G413" s="9"/>
      <c r="H413" s="9"/>
      <c r="I413" s="9"/>
    </row>
    <row r="414" spans="2:9" x14ac:dyDescent="0.25">
      <c r="B414" s="9"/>
      <c r="C414" s="9"/>
      <c r="D414" s="9"/>
      <c r="E414" s="9"/>
      <c r="F414" s="9"/>
      <c r="G414" s="9"/>
      <c r="H414" s="9"/>
      <c r="I414" s="9"/>
    </row>
    <row r="415" spans="2:9" x14ac:dyDescent="0.25">
      <c r="B415" s="9"/>
      <c r="C415" s="9"/>
      <c r="D415" s="9"/>
      <c r="E415" s="9"/>
      <c r="F415" s="9"/>
      <c r="G415" s="9"/>
      <c r="H415" s="9"/>
      <c r="I415" s="9"/>
    </row>
    <row r="416" spans="2:9" x14ac:dyDescent="0.25">
      <c r="B416" s="9"/>
      <c r="C416" s="9"/>
      <c r="D416" s="9"/>
      <c r="E416" s="9"/>
      <c r="F416" s="9"/>
      <c r="G416" s="9"/>
      <c r="H416" s="9"/>
      <c r="I416" s="9"/>
    </row>
    <row r="417" spans="2:9" x14ac:dyDescent="0.25">
      <c r="B417" s="9"/>
      <c r="C417" s="9"/>
      <c r="D417" s="9"/>
      <c r="E417" s="9"/>
      <c r="F417" s="9"/>
      <c r="G417" s="9"/>
      <c r="H417" s="9"/>
      <c r="I417" s="9"/>
    </row>
    <row r="418" spans="2:9" x14ac:dyDescent="0.25">
      <c r="B418" s="9"/>
      <c r="C418" s="9"/>
      <c r="D418" s="9"/>
      <c r="E418" s="9"/>
      <c r="F418" s="9"/>
      <c r="G418" s="9"/>
      <c r="H418" s="9"/>
      <c r="I418" s="9"/>
    </row>
    <row r="419" spans="2:9" x14ac:dyDescent="0.25">
      <c r="B419" s="9"/>
      <c r="C419" s="9"/>
      <c r="D419" s="9"/>
      <c r="E419" s="9"/>
      <c r="F419" s="9"/>
      <c r="G419" s="9"/>
      <c r="H419" s="9"/>
      <c r="I419" s="9"/>
    </row>
    <row r="420" spans="2:9" x14ac:dyDescent="0.25">
      <c r="B420" s="9"/>
      <c r="C420" s="9"/>
      <c r="D420" s="9"/>
      <c r="E420" s="9"/>
      <c r="F420" s="9"/>
      <c r="G420" s="9"/>
      <c r="H420" s="9"/>
      <c r="I420" s="9"/>
    </row>
    <row r="421" spans="2:9" x14ac:dyDescent="0.25">
      <c r="B421" s="9"/>
      <c r="C421" s="9"/>
      <c r="D421" s="9"/>
      <c r="E421" s="9"/>
      <c r="F421" s="9"/>
      <c r="G421" s="9"/>
      <c r="H421" s="9"/>
      <c r="I421" s="9"/>
    </row>
    <row r="422" spans="2:9" x14ac:dyDescent="0.25">
      <c r="B422" s="9"/>
      <c r="C422" s="9"/>
      <c r="D422" s="9"/>
      <c r="E422" s="9"/>
      <c r="F422" s="9"/>
      <c r="G422" s="9"/>
      <c r="H422" s="9"/>
      <c r="I422" s="9"/>
    </row>
    <row r="423" spans="2:9" x14ac:dyDescent="0.25">
      <c r="B423" s="9"/>
      <c r="C423" s="9"/>
      <c r="D423" s="9"/>
      <c r="E423" s="9"/>
      <c r="F423" s="9"/>
      <c r="G423" s="9"/>
      <c r="H423" s="9"/>
      <c r="I423" s="9"/>
    </row>
    <row r="424" spans="2:9" x14ac:dyDescent="0.25">
      <c r="B424" s="9"/>
      <c r="C424" s="9"/>
      <c r="D424" s="9"/>
      <c r="E424" s="9"/>
      <c r="F424" s="9"/>
      <c r="G424" s="9"/>
      <c r="H424" s="9"/>
      <c r="I424" s="9"/>
    </row>
    <row r="425" spans="2:9" x14ac:dyDescent="0.25">
      <c r="B425" s="9"/>
      <c r="C425" s="9"/>
      <c r="D425" s="9"/>
      <c r="E425" s="9"/>
      <c r="F425" s="9"/>
      <c r="G425" s="9"/>
      <c r="H425" s="9"/>
      <c r="I425" s="9"/>
    </row>
    <row r="426" spans="2:9" x14ac:dyDescent="0.25">
      <c r="B426" s="9"/>
      <c r="C426" s="9"/>
      <c r="D426" s="9"/>
      <c r="E426" s="9"/>
      <c r="F426" s="9"/>
      <c r="G426" s="9"/>
      <c r="H426" s="9"/>
      <c r="I426" s="9"/>
    </row>
    <row r="427" spans="2:9" x14ac:dyDescent="0.25">
      <c r="B427" s="9"/>
      <c r="C427" s="9"/>
      <c r="D427" s="9"/>
      <c r="E427" s="9"/>
      <c r="F427" s="9"/>
      <c r="G427" s="9"/>
      <c r="H427" s="9"/>
      <c r="I427" s="9"/>
    </row>
    <row r="428" spans="2:9" x14ac:dyDescent="0.25">
      <c r="B428" s="9"/>
      <c r="C428" s="9"/>
      <c r="D428" s="9"/>
      <c r="E428" s="9"/>
      <c r="F428" s="9"/>
      <c r="G428" s="9"/>
      <c r="H428" s="9"/>
      <c r="I428" s="9"/>
    </row>
    <row r="429" spans="2:9" x14ac:dyDescent="0.25">
      <c r="B429" s="9"/>
      <c r="C429" s="9"/>
      <c r="D429" s="9"/>
      <c r="E429" s="9"/>
      <c r="F429" s="9"/>
      <c r="G429" s="9"/>
      <c r="H429" s="9"/>
      <c r="I429" s="9"/>
    </row>
    <row r="430" spans="2:9" x14ac:dyDescent="0.25">
      <c r="B430" s="9"/>
      <c r="C430" s="9"/>
      <c r="D430" s="9"/>
      <c r="E430" s="9"/>
      <c r="F430" s="9"/>
      <c r="G430" s="9"/>
      <c r="H430" s="9"/>
      <c r="I430" s="9"/>
    </row>
    <row r="431" spans="2:9" x14ac:dyDescent="0.25">
      <c r="B431" s="9"/>
      <c r="C431" s="9"/>
      <c r="D431" s="9"/>
      <c r="E431" s="9"/>
      <c r="F431" s="9"/>
      <c r="G431" s="9"/>
      <c r="H431" s="9"/>
      <c r="I431" s="9"/>
    </row>
    <row r="432" spans="2:9" x14ac:dyDescent="0.25">
      <c r="B432" s="9"/>
      <c r="C432" s="9"/>
      <c r="D432" s="9"/>
      <c r="E432" s="9"/>
      <c r="F432" s="9"/>
      <c r="G432" s="9"/>
      <c r="H432" s="9"/>
      <c r="I432" s="9"/>
    </row>
    <row r="433" spans="2:9" x14ac:dyDescent="0.25">
      <c r="B433" s="9"/>
      <c r="C433" s="9"/>
      <c r="D433" s="9"/>
      <c r="E433" s="9"/>
      <c r="F433" s="9"/>
      <c r="G433" s="9"/>
      <c r="H433" s="9"/>
      <c r="I433" s="9"/>
    </row>
    <row r="434" spans="2:9" x14ac:dyDescent="0.25">
      <c r="B434" s="9"/>
      <c r="C434" s="9"/>
      <c r="D434" s="9"/>
      <c r="E434" s="9"/>
      <c r="F434" s="9"/>
      <c r="G434" s="9"/>
      <c r="H434" s="9"/>
      <c r="I434" s="9"/>
    </row>
    <row r="435" spans="2:9" x14ac:dyDescent="0.25">
      <c r="B435" s="9"/>
      <c r="C435" s="9"/>
      <c r="D435" s="9"/>
      <c r="E435" s="9"/>
      <c r="F435" s="9"/>
      <c r="G435" s="9"/>
      <c r="H435" s="9"/>
      <c r="I435" s="9"/>
    </row>
    <row r="436" spans="2:9" x14ac:dyDescent="0.25">
      <c r="B436" s="9"/>
      <c r="C436" s="9"/>
      <c r="D436" s="9"/>
      <c r="E436" s="9"/>
      <c r="F436" s="9"/>
      <c r="G436" s="9"/>
      <c r="H436" s="9"/>
      <c r="I436" s="9"/>
    </row>
    <row r="437" spans="2:9" x14ac:dyDescent="0.25">
      <c r="B437" s="9"/>
      <c r="C437" s="9"/>
      <c r="D437" s="9"/>
      <c r="E437" s="9"/>
      <c r="F437" s="9"/>
      <c r="G437" s="9"/>
      <c r="H437" s="9"/>
      <c r="I437" s="9"/>
    </row>
    <row r="438" spans="2:9" x14ac:dyDescent="0.25">
      <c r="B438" s="9"/>
      <c r="C438" s="9"/>
      <c r="D438" s="9"/>
      <c r="E438" s="9"/>
      <c r="F438" s="9"/>
      <c r="G438" s="9"/>
      <c r="H438" s="9"/>
      <c r="I438" s="9"/>
    </row>
    <row r="439" spans="2:9" x14ac:dyDescent="0.25">
      <c r="B439" s="9"/>
      <c r="C439" s="9"/>
      <c r="D439" s="9"/>
      <c r="E439" s="9"/>
      <c r="F439" s="9"/>
      <c r="G439" s="9"/>
      <c r="H439" s="9"/>
      <c r="I439" s="9"/>
    </row>
    <row r="440" spans="2:9" x14ac:dyDescent="0.25">
      <c r="B440" s="9"/>
      <c r="C440" s="9"/>
      <c r="D440" s="9"/>
      <c r="E440" s="9"/>
      <c r="F440" s="9"/>
      <c r="G440" s="9"/>
      <c r="H440" s="9"/>
      <c r="I440" s="9"/>
    </row>
    <row r="441" spans="2:9" x14ac:dyDescent="0.25">
      <c r="B441" s="9"/>
      <c r="C441" s="9"/>
      <c r="D441" s="9"/>
      <c r="E441" s="9"/>
      <c r="F441" s="9"/>
      <c r="G441" s="9"/>
      <c r="H441" s="9"/>
      <c r="I441" s="9"/>
    </row>
    <row r="442" spans="2:9" x14ac:dyDescent="0.25">
      <c r="B442" s="9"/>
      <c r="C442" s="9"/>
      <c r="D442" s="9"/>
      <c r="E442" s="9"/>
      <c r="F442" s="9"/>
      <c r="G442" s="9"/>
      <c r="H442" s="9"/>
      <c r="I442" s="9"/>
    </row>
    <row r="443" spans="2:9" x14ac:dyDescent="0.25">
      <c r="B443" s="9"/>
      <c r="C443" s="9"/>
      <c r="D443" s="9"/>
      <c r="E443" s="9"/>
      <c r="F443" s="9"/>
      <c r="G443" s="9"/>
      <c r="H443" s="9"/>
      <c r="I443" s="9"/>
    </row>
    <row r="444" spans="2:9" x14ac:dyDescent="0.25">
      <c r="B444" s="9"/>
      <c r="C444" s="9"/>
      <c r="D444" s="9"/>
      <c r="E444" s="9"/>
      <c r="F444" s="9"/>
      <c r="G444" s="9"/>
      <c r="H444" s="9"/>
      <c r="I444" s="9"/>
    </row>
    <row r="445" spans="2:9" x14ac:dyDescent="0.25">
      <c r="B445" s="9"/>
      <c r="C445" s="9"/>
      <c r="D445" s="9"/>
      <c r="E445" s="9"/>
      <c r="F445" s="9"/>
      <c r="G445" s="9"/>
      <c r="H445" s="9"/>
      <c r="I445" s="9"/>
    </row>
    <row r="446" spans="2:9" x14ac:dyDescent="0.25">
      <c r="B446" s="9"/>
      <c r="C446" s="9"/>
      <c r="D446" s="9"/>
      <c r="E446" s="9"/>
      <c r="F446" s="9"/>
      <c r="G446" s="9"/>
      <c r="H446" s="9"/>
      <c r="I446" s="9"/>
    </row>
    <row r="447" spans="2:9" x14ac:dyDescent="0.25">
      <c r="B447" s="9"/>
      <c r="C447" s="9"/>
      <c r="D447" s="9"/>
      <c r="E447" s="9"/>
      <c r="F447" s="9"/>
      <c r="G447" s="9"/>
      <c r="H447" s="9"/>
      <c r="I447" s="9"/>
    </row>
    <row r="448" spans="2:9" x14ac:dyDescent="0.25">
      <c r="B448" s="9"/>
      <c r="C448" s="9"/>
      <c r="D448" s="9"/>
      <c r="E448" s="9"/>
      <c r="F448" s="9"/>
      <c r="G448" s="9"/>
      <c r="H448" s="9"/>
      <c r="I448" s="9"/>
    </row>
    <row r="449" spans="2:9" x14ac:dyDescent="0.25">
      <c r="B449" s="9"/>
      <c r="C449" s="9"/>
      <c r="D449" s="9"/>
      <c r="E449" s="9"/>
      <c r="F449" s="9"/>
      <c r="G449" s="9"/>
      <c r="H449" s="9"/>
      <c r="I449" s="9"/>
    </row>
    <row r="450" spans="2:9" x14ac:dyDescent="0.25">
      <c r="B450" s="9"/>
      <c r="C450" s="9"/>
      <c r="D450" s="9"/>
      <c r="E450" s="9"/>
      <c r="F450" s="9"/>
      <c r="G450" s="9"/>
      <c r="H450" s="9"/>
      <c r="I450" s="9"/>
    </row>
    <row r="451" spans="2:9" x14ac:dyDescent="0.25">
      <c r="B451" s="9"/>
      <c r="C451" s="9"/>
      <c r="D451" s="9"/>
      <c r="E451" s="9"/>
      <c r="F451" s="9"/>
      <c r="G451" s="9"/>
      <c r="H451" s="9"/>
      <c r="I451" s="9"/>
    </row>
    <row r="452" spans="2:9" x14ac:dyDescent="0.25">
      <c r="B452" s="9"/>
      <c r="C452" s="9"/>
      <c r="D452" s="9"/>
      <c r="E452" s="9"/>
      <c r="F452" s="9"/>
      <c r="G452" s="9"/>
      <c r="H452" s="9"/>
      <c r="I452" s="9"/>
    </row>
    <row r="453" spans="2:9" x14ac:dyDescent="0.25">
      <c r="B453" s="9"/>
      <c r="C453" s="9"/>
      <c r="D453" s="9"/>
      <c r="E453" s="9"/>
      <c r="F453" s="9"/>
      <c r="G453" s="9"/>
      <c r="H453" s="9"/>
      <c r="I453" s="9"/>
    </row>
    <row r="454" spans="2:9" x14ac:dyDescent="0.25">
      <c r="B454" s="9"/>
      <c r="C454" s="9"/>
      <c r="D454" s="9"/>
      <c r="E454" s="9"/>
      <c r="F454" s="9"/>
      <c r="G454" s="9"/>
      <c r="H454" s="9"/>
      <c r="I454" s="9"/>
    </row>
    <row r="455" spans="2:9" x14ac:dyDescent="0.25">
      <c r="B455" s="9"/>
      <c r="C455" s="9"/>
      <c r="D455" s="9"/>
      <c r="E455" s="9"/>
      <c r="F455" s="9"/>
      <c r="G455" s="9"/>
      <c r="H455" s="9"/>
      <c r="I455" s="9"/>
    </row>
    <row r="456" spans="2:9" x14ac:dyDescent="0.25">
      <c r="B456" s="9"/>
      <c r="C456" s="9"/>
      <c r="D456" s="9"/>
      <c r="E456" s="9"/>
      <c r="F456" s="9"/>
      <c r="G456" s="9"/>
      <c r="H456" s="9"/>
      <c r="I456" s="9"/>
    </row>
    <row r="457" spans="2:9" x14ac:dyDescent="0.25">
      <c r="B457" s="9"/>
      <c r="C457" s="9"/>
      <c r="D457" s="9"/>
      <c r="E457" s="9"/>
      <c r="F457" s="9"/>
      <c r="G457" s="9"/>
      <c r="H457" s="9"/>
      <c r="I457" s="9"/>
    </row>
    <row r="458" spans="2:9" x14ac:dyDescent="0.25">
      <c r="B458" s="9"/>
      <c r="C458" s="9"/>
      <c r="D458" s="9"/>
      <c r="E458" s="9"/>
      <c r="F458" s="9"/>
      <c r="G458" s="9"/>
      <c r="H458" s="9"/>
      <c r="I458" s="9"/>
    </row>
    <row r="459" spans="2:9" x14ac:dyDescent="0.25">
      <c r="B459" s="9"/>
      <c r="C459" s="9"/>
      <c r="D459" s="9"/>
      <c r="E459" s="9"/>
      <c r="F459" s="9"/>
      <c r="G459" s="9"/>
      <c r="H459" s="9"/>
      <c r="I459" s="9"/>
    </row>
    <row r="460" spans="2:9" x14ac:dyDescent="0.25">
      <c r="B460" s="9"/>
      <c r="C460" s="9"/>
      <c r="D460" s="9"/>
      <c r="E460" s="9"/>
      <c r="F460" s="9"/>
      <c r="G460" s="9"/>
      <c r="H460" s="9"/>
      <c r="I460" s="9"/>
    </row>
    <row r="461" spans="2:9" x14ac:dyDescent="0.25">
      <c r="B461" s="9"/>
      <c r="C461" s="9"/>
      <c r="D461" s="9"/>
      <c r="E461" s="9"/>
      <c r="F461" s="9"/>
      <c r="G461" s="9"/>
      <c r="H461" s="9"/>
      <c r="I461" s="9"/>
    </row>
    <row r="462" spans="2:9" x14ac:dyDescent="0.25">
      <c r="B462" s="9"/>
      <c r="C462" s="9"/>
      <c r="D462" s="9"/>
      <c r="E462" s="9"/>
      <c r="F462" s="9"/>
      <c r="G462" s="9"/>
      <c r="H462" s="9"/>
      <c r="I462" s="9"/>
    </row>
    <row r="463" spans="2:9" x14ac:dyDescent="0.25">
      <c r="B463" s="9"/>
      <c r="C463" s="9"/>
      <c r="D463" s="9"/>
      <c r="E463" s="9"/>
      <c r="F463" s="9"/>
      <c r="G463" s="9"/>
      <c r="H463" s="9"/>
      <c r="I463" s="9"/>
    </row>
    <row r="464" spans="2:9" x14ac:dyDescent="0.25">
      <c r="B464" s="9"/>
      <c r="C464" s="9"/>
      <c r="D464" s="9"/>
      <c r="E464" s="9"/>
      <c r="F464" s="9"/>
      <c r="G464" s="9"/>
      <c r="H464" s="9"/>
      <c r="I464" s="9"/>
    </row>
    <row r="465" spans="2:9" x14ac:dyDescent="0.25">
      <c r="B465" s="9"/>
      <c r="C465" s="9"/>
      <c r="D465" s="9"/>
      <c r="E465" s="9"/>
      <c r="F465" s="9"/>
      <c r="G465" s="9"/>
      <c r="H465" s="9"/>
      <c r="I465" s="9"/>
    </row>
    <row r="466" spans="2:9" x14ac:dyDescent="0.25">
      <c r="B466" s="9"/>
      <c r="C466" s="9"/>
      <c r="D466" s="9"/>
      <c r="E466" s="9"/>
      <c r="F466" s="9"/>
      <c r="G466" s="9"/>
      <c r="H466" s="9"/>
      <c r="I466" s="9"/>
    </row>
    <row r="467" spans="2:9" x14ac:dyDescent="0.25">
      <c r="B467" s="9"/>
      <c r="C467" s="9"/>
      <c r="D467" s="9"/>
      <c r="E467" s="9"/>
      <c r="F467" s="9"/>
      <c r="G467" s="9"/>
      <c r="H467" s="9"/>
      <c r="I467" s="9"/>
    </row>
    <row r="468" spans="2:9" x14ac:dyDescent="0.25">
      <c r="B468" s="9"/>
      <c r="C468" s="9"/>
      <c r="D468" s="9"/>
      <c r="E468" s="9"/>
      <c r="F468" s="9"/>
      <c r="G468" s="9"/>
      <c r="H468" s="9"/>
      <c r="I468" s="9"/>
    </row>
    <row r="469" spans="2:9" x14ac:dyDescent="0.25">
      <c r="B469" s="9"/>
      <c r="C469" s="9"/>
      <c r="D469" s="9"/>
      <c r="E469" s="9"/>
      <c r="F469" s="9"/>
      <c r="G469" s="9"/>
      <c r="H469" s="9"/>
      <c r="I469" s="9"/>
    </row>
    <row r="470" spans="2:9" x14ac:dyDescent="0.25">
      <c r="B470" s="9"/>
      <c r="C470" s="9"/>
      <c r="D470" s="9"/>
      <c r="E470" s="9"/>
      <c r="F470" s="9"/>
      <c r="G470" s="9"/>
      <c r="H470" s="9"/>
      <c r="I470" s="9"/>
    </row>
    <row r="471" spans="2:9" x14ac:dyDescent="0.25">
      <c r="B471" s="9"/>
      <c r="C471" s="9"/>
      <c r="D471" s="9"/>
      <c r="E471" s="9"/>
      <c r="F471" s="9"/>
      <c r="G471" s="9"/>
      <c r="H471" s="9"/>
      <c r="I471" s="9"/>
    </row>
    <row r="472" spans="2:9" x14ac:dyDescent="0.25">
      <c r="B472" s="9"/>
      <c r="C472" s="9"/>
      <c r="D472" s="9"/>
      <c r="E472" s="9"/>
      <c r="F472" s="9"/>
      <c r="G472" s="9"/>
      <c r="H472" s="9"/>
      <c r="I472" s="9"/>
    </row>
    <row r="473" spans="2:9" x14ac:dyDescent="0.25">
      <c r="B473" s="9"/>
      <c r="C473" s="9"/>
      <c r="D473" s="9"/>
      <c r="E473" s="9"/>
      <c r="F473" s="9"/>
      <c r="G473" s="9"/>
      <c r="H473" s="9"/>
      <c r="I473" s="9"/>
    </row>
    <row r="474" spans="2:9" x14ac:dyDescent="0.25">
      <c r="B474" s="9"/>
      <c r="C474" s="9"/>
      <c r="D474" s="9"/>
      <c r="E474" s="9"/>
      <c r="F474" s="9"/>
      <c r="G474" s="9"/>
      <c r="H474" s="9"/>
      <c r="I474" s="9"/>
    </row>
    <row r="475" spans="2:9" x14ac:dyDescent="0.25">
      <c r="B475" s="9"/>
      <c r="C475" s="9"/>
      <c r="D475" s="9"/>
      <c r="E475" s="9"/>
      <c r="F475" s="9"/>
      <c r="G475" s="9"/>
      <c r="H475" s="9"/>
      <c r="I475" s="9"/>
    </row>
    <row r="476" spans="2:9" x14ac:dyDescent="0.25">
      <c r="B476" s="9"/>
      <c r="C476" s="9"/>
      <c r="D476" s="9"/>
      <c r="E476" s="9"/>
      <c r="F476" s="9"/>
      <c r="G476" s="9"/>
      <c r="H476" s="9"/>
      <c r="I476" s="9"/>
    </row>
    <row r="477" spans="2:9" x14ac:dyDescent="0.25">
      <c r="B477" s="9"/>
      <c r="C477" s="9"/>
      <c r="D477" s="9"/>
      <c r="E477" s="9"/>
      <c r="F477" s="9"/>
      <c r="G477" s="9"/>
      <c r="H477" s="9"/>
      <c r="I477" s="9"/>
    </row>
    <row r="478" spans="2:9" x14ac:dyDescent="0.25">
      <c r="B478" s="9"/>
      <c r="C478" s="9"/>
      <c r="D478" s="9"/>
      <c r="E478" s="9"/>
      <c r="F478" s="9"/>
      <c r="G478" s="9"/>
      <c r="H478" s="9"/>
      <c r="I478" s="9"/>
    </row>
    <row r="479" spans="2:9" x14ac:dyDescent="0.25">
      <c r="B479" s="9"/>
      <c r="C479" s="9"/>
      <c r="D479" s="9"/>
      <c r="E479" s="9"/>
      <c r="F479" s="9"/>
      <c r="G479" s="9"/>
      <c r="H479" s="9"/>
      <c r="I479" s="9"/>
    </row>
    <row r="480" spans="2:9" x14ac:dyDescent="0.25">
      <c r="B480" s="9"/>
      <c r="C480" s="9"/>
      <c r="D480" s="9"/>
      <c r="E480" s="9"/>
      <c r="F480" s="9"/>
      <c r="G480" s="9"/>
      <c r="H480" s="9"/>
      <c r="I480" s="9"/>
    </row>
    <row r="481" spans="2:9" x14ac:dyDescent="0.25">
      <c r="B481" s="9"/>
      <c r="C481" s="9"/>
      <c r="D481" s="9"/>
      <c r="E481" s="9"/>
      <c r="F481" s="9"/>
      <c r="G481" s="9"/>
      <c r="H481" s="9"/>
      <c r="I481" s="9"/>
    </row>
    <row r="482" spans="2:9" x14ac:dyDescent="0.25">
      <c r="B482" s="9"/>
      <c r="C482" s="9"/>
      <c r="D482" s="9"/>
      <c r="E482" s="9"/>
      <c r="F482" s="9"/>
      <c r="G482" s="9"/>
      <c r="H482" s="9"/>
      <c r="I482" s="9"/>
    </row>
    <row r="483" spans="2:9" x14ac:dyDescent="0.25">
      <c r="B483" s="9"/>
      <c r="C483" s="9"/>
      <c r="D483" s="9"/>
      <c r="E483" s="9"/>
      <c r="F483" s="9"/>
      <c r="G483" s="9"/>
      <c r="H483" s="9"/>
      <c r="I483" s="9"/>
    </row>
    <row r="484" spans="2:9" x14ac:dyDescent="0.25">
      <c r="B484" s="9"/>
      <c r="C484" s="9"/>
      <c r="D484" s="9"/>
      <c r="E484" s="9"/>
      <c r="F484" s="9"/>
      <c r="G484" s="9"/>
      <c r="H484" s="9"/>
      <c r="I484" s="9"/>
    </row>
    <row r="485" spans="2:9" x14ac:dyDescent="0.25">
      <c r="B485" s="9"/>
      <c r="C485" s="9"/>
      <c r="D485" s="9"/>
      <c r="E485" s="9"/>
      <c r="F485" s="9"/>
      <c r="G485" s="9"/>
      <c r="H485" s="9"/>
      <c r="I485" s="9"/>
    </row>
    <row r="486" spans="2:9" x14ac:dyDescent="0.25">
      <c r="B486" s="9"/>
      <c r="C486" s="9"/>
      <c r="D486" s="9"/>
      <c r="E486" s="9"/>
      <c r="F486" s="9"/>
      <c r="G486" s="9"/>
      <c r="H486" s="9"/>
      <c r="I486" s="9"/>
    </row>
    <row r="487" spans="2:9" x14ac:dyDescent="0.25">
      <c r="B487" s="9"/>
      <c r="C487" s="9"/>
      <c r="D487" s="9"/>
      <c r="E487" s="9"/>
      <c r="F487" s="9"/>
      <c r="G487" s="9"/>
      <c r="H487" s="9"/>
      <c r="I487" s="9"/>
    </row>
    <row r="488" spans="2:9" x14ac:dyDescent="0.25">
      <c r="B488" s="9"/>
      <c r="C488" s="9"/>
      <c r="D488" s="9"/>
      <c r="E488" s="9"/>
      <c r="F488" s="9"/>
      <c r="G488" s="9"/>
      <c r="H488" s="9"/>
      <c r="I488" s="9"/>
    </row>
    <row r="489" spans="2:9" x14ac:dyDescent="0.25">
      <c r="B489" s="9"/>
      <c r="C489" s="9"/>
      <c r="D489" s="9"/>
      <c r="E489" s="9"/>
      <c r="F489" s="9"/>
      <c r="G489" s="9"/>
      <c r="H489" s="9"/>
      <c r="I489" s="9"/>
    </row>
    <row r="490" spans="2:9" x14ac:dyDescent="0.25">
      <c r="B490" s="9"/>
      <c r="C490" s="9"/>
      <c r="D490" s="9"/>
      <c r="E490" s="9"/>
      <c r="F490" s="9"/>
      <c r="G490" s="9"/>
      <c r="H490" s="9"/>
      <c r="I490" s="9"/>
    </row>
    <row r="491" spans="2:9" x14ac:dyDescent="0.25">
      <c r="B491" s="9"/>
      <c r="C491" s="9"/>
      <c r="D491" s="9"/>
      <c r="E491" s="9"/>
      <c r="F491" s="9"/>
      <c r="G491" s="9"/>
      <c r="H491" s="9"/>
      <c r="I491" s="9"/>
    </row>
    <row r="492" spans="2:9" x14ac:dyDescent="0.25">
      <c r="B492" s="9"/>
      <c r="C492" s="9"/>
      <c r="D492" s="9"/>
      <c r="E492" s="9"/>
      <c r="F492" s="9"/>
      <c r="G492" s="9"/>
      <c r="H492" s="9"/>
      <c r="I492" s="9"/>
    </row>
    <row r="493" spans="2:9" x14ac:dyDescent="0.25">
      <c r="B493" s="9"/>
      <c r="C493" s="9"/>
      <c r="D493" s="9"/>
      <c r="E493" s="9"/>
      <c r="F493" s="9"/>
      <c r="G493" s="9"/>
      <c r="H493" s="9"/>
      <c r="I493" s="9"/>
    </row>
    <row r="494" spans="2:9" x14ac:dyDescent="0.25">
      <c r="B494" s="9"/>
      <c r="C494" s="9"/>
      <c r="D494" s="9"/>
      <c r="E494" s="9"/>
      <c r="F494" s="9"/>
      <c r="G494" s="9"/>
      <c r="H494" s="9"/>
      <c r="I494" s="9"/>
    </row>
    <row r="495" spans="2:9" x14ac:dyDescent="0.25">
      <c r="B495" s="9"/>
      <c r="C495" s="9"/>
      <c r="D495" s="9"/>
      <c r="E495" s="9"/>
      <c r="F495" s="9"/>
      <c r="G495" s="9"/>
      <c r="H495" s="9"/>
      <c r="I495" s="9"/>
    </row>
    <row r="496" spans="2:9" x14ac:dyDescent="0.25">
      <c r="B496" s="9"/>
      <c r="C496" s="9"/>
      <c r="D496" s="9"/>
      <c r="E496" s="9"/>
      <c r="F496" s="9"/>
      <c r="G496" s="9"/>
      <c r="H496" s="9"/>
      <c r="I496" s="9"/>
    </row>
    <row r="497" spans="2:9" x14ac:dyDescent="0.25">
      <c r="B497" s="9"/>
      <c r="C497" s="9"/>
      <c r="D497" s="9"/>
      <c r="E497" s="9"/>
      <c r="F497" s="9"/>
      <c r="G497" s="9"/>
      <c r="H497" s="9"/>
      <c r="I497" s="9"/>
    </row>
    <row r="498" spans="2:9" x14ac:dyDescent="0.25">
      <c r="B498" s="9"/>
      <c r="C498" s="9"/>
      <c r="D498" s="9"/>
      <c r="E498" s="9"/>
      <c r="F498" s="9"/>
      <c r="G498" s="9"/>
      <c r="H498" s="9"/>
      <c r="I498" s="9"/>
    </row>
    <row r="499" spans="2:9" x14ac:dyDescent="0.25">
      <c r="B499" s="9"/>
      <c r="C499" s="9"/>
      <c r="D499" s="9"/>
      <c r="E499" s="9"/>
      <c r="F499" s="9"/>
      <c r="G499" s="9"/>
      <c r="H499" s="9"/>
      <c r="I499" s="9"/>
    </row>
    <row r="500" spans="2:9" x14ac:dyDescent="0.25">
      <c r="B500" s="9"/>
      <c r="C500" s="9"/>
      <c r="D500" s="9"/>
      <c r="E500" s="9"/>
      <c r="F500" s="9"/>
      <c r="G500" s="9"/>
      <c r="H500" s="9"/>
      <c r="I500" s="9"/>
    </row>
    <row r="501" spans="2:9" x14ac:dyDescent="0.25">
      <c r="B501" s="9"/>
      <c r="C501" s="9"/>
      <c r="D501" s="9"/>
      <c r="E501" s="9"/>
      <c r="F501" s="9"/>
      <c r="G501" s="9"/>
      <c r="H501" s="9"/>
      <c r="I501" s="9"/>
    </row>
    <row r="502" spans="2:9" x14ac:dyDescent="0.25">
      <c r="B502" s="9"/>
      <c r="C502" s="9"/>
      <c r="D502" s="9"/>
      <c r="E502" s="9"/>
      <c r="F502" s="9"/>
      <c r="G502" s="9"/>
      <c r="H502" s="9"/>
      <c r="I502" s="9"/>
    </row>
    <row r="503" spans="2:9" x14ac:dyDescent="0.25">
      <c r="B503" s="9"/>
      <c r="C503" s="9"/>
      <c r="D503" s="9"/>
      <c r="E503" s="9"/>
      <c r="F503" s="9"/>
      <c r="G503" s="9"/>
      <c r="H503" s="9"/>
      <c r="I503" s="9"/>
    </row>
    <row r="504" spans="2:9" x14ac:dyDescent="0.25">
      <c r="B504" s="9"/>
      <c r="C504" s="9"/>
      <c r="D504" s="9"/>
      <c r="E504" s="9"/>
      <c r="F504" s="9"/>
      <c r="G504" s="9"/>
      <c r="H504" s="9"/>
      <c r="I504" s="9"/>
    </row>
    <row r="505" spans="2:9" x14ac:dyDescent="0.25">
      <c r="B505" s="9"/>
      <c r="C505" s="9"/>
      <c r="D505" s="9"/>
      <c r="E505" s="9"/>
      <c r="F505" s="9"/>
      <c r="G505" s="9"/>
      <c r="H505" s="9"/>
      <c r="I505" s="9"/>
    </row>
    <row r="506" spans="2:9" x14ac:dyDescent="0.25">
      <c r="B506" s="9"/>
      <c r="C506" s="9"/>
      <c r="D506" s="9"/>
      <c r="E506" s="9"/>
      <c r="F506" s="9"/>
      <c r="G506" s="9"/>
      <c r="H506" s="9"/>
      <c r="I506" s="9"/>
    </row>
    <row r="507" spans="2:9" x14ac:dyDescent="0.25">
      <c r="B507" s="9"/>
      <c r="C507" s="9"/>
      <c r="D507" s="9"/>
      <c r="E507" s="9"/>
      <c r="F507" s="9"/>
      <c r="G507" s="9"/>
      <c r="H507" s="9"/>
      <c r="I507" s="9"/>
    </row>
    <row r="508" spans="2:9" x14ac:dyDescent="0.25">
      <c r="B508" s="9"/>
      <c r="C508" s="9"/>
      <c r="D508" s="9"/>
      <c r="E508" s="9"/>
      <c r="F508" s="9"/>
      <c r="G508" s="9"/>
      <c r="H508" s="9"/>
      <c r="I508" s="9"/>
    </row>
    <row r="509" spans="2:9" x14ac:dyDescent="0.25">
      <c r="B509" s="9"/>
      <c r="C509" s="9"/>
      <c r="D509" s="9"/>
      <c r="E509" s="9"/>
      <c r="F509" s="9"/>
      <c r="G509" s="9"/>
      <c r="H509" s="9"/>
      <c r="I509" s="9"/>
    </row>
    <row r="510" spans="2:9" x14ac:dyDescent="0.25">
      <c r="B510" s="9"/>
      <c r="C510" s="9"/>
      <c r="D510" s="9"/>
      <c r="E510" s="9"/>
      <c r="F510" s="9"/>
      <c r="G510" s="9"/>
      <c r="H510" s="9"/>
      <c r="I510" s="9"/>
    </row>
    <row r="511" spans="2:9" x14ac:dyDescent="0.25">
      <c r="B511" s="9"/>
      <c r="C511" s="9"/>
      <c r="D511" s="9"/>
      <c r="E511" s="9"/>
      <c r="F511" s="9"/>
      <c r="G511" s="9"/>
      <c r="H511" s="9"/>
      <c r="I511" s="9"/>
    </row>
    <row r="512" spans="2:9" x14ac:dyDescent="0.25">
      <c r="B512" s="9"/>
      <c r="C512" s="9"/>
      <c r="D512" s="9"/>
      <c r="E512" s="9"/>
      <c r="F512" s="9"/>
      <c r="G512" s="9"/>
      <c r="H512" s="9"/>
      <c r="I512" s="9"/>
    </row>
    <row r="513" spans="2:9" x14ac:dyDescent="0.25">
      <c r="B513" s="9"/>
      <c r="C513" s="9"/>
      <c r="D513" s="9"/>
      <c r="E513" s="9"/>
      <c r="F513" s="9"/>
      <c r="G513" s="9"/>
      <c r="H513" s="9"/>
      <c r="I513" s="9"/>
    </row>
    <row r="514" spans="2:9" x14ac:dyDescent="0.25">
      <c r="B514" s="9"/>
      <c r="C514" s="9"/>
      <c r="D514" s="9"/>
      <c r="E514" s="9"/>
      <c r="F514" s="9"/>
      <c r="G514" s="9"/>
      <c r="H514" s="9"/>
      <c r="I514" s="9"/>
    </row>
    <row r="515" spans="2:9" x14ac:dyDescent="0.25">
      <c r="B515" s="9"/>
      <c r="C515" s="9"/>
      <c r="D515" s="9"/>
      <c r="E515" s="9"/>
      <c r="F515" s="9"/>
      <c r="G515" s="9"/>
      <c r="H515" s="9"/>
      <c r="I515" s="9"/>
    </row>
    <row r="516" spans="2:9" x14ac:dyDescent="0.25">
      <c r="B516" s="9"/>
      <c r="C516" s="9"/>
      <c r="D516" s="9"/>
      <c r="E516" s="9"/>
      <c r="F516" s="9"/>
      <c r="G516" s="9"/>
      <c r="H516" s="9"/>
      <c r="I516" s="9"/>
    </row>
    <row r="517" spans="2:9" x14ac:dyDescent="0.25">
      <c r="B517" s="9"/>
      <c r="C517" s="9"/>
      <c r="D517" s="9"/>
      <c r="E517" s="9"/>
      <c r="F517" s="9"/>
      <c r="G517" s="9"/>
      <c r="H517" s="9"/>
      <c r="I517" s="9"/>
    </row>
    <row r="518" spans="2:9" x14ac:dyDescent="0.25">
      <c r="B518" s="9"/>
      <c r="C518" s="9"/>
      <c r="D518" s="9"/>
      <c r="E518" s="9"/>
      <c r="F518" s="9"/>
      <c r="G518" s="9"/>
      <c r="H518" s="9"/>
      <c r="I518" s="9"/>
    </row>
    <row r="519" spans="2:9" x14ac:dyDescent="0.25">
      <c r="B519" s="9"/>
      <c r="C519" s="9"/>
      <c r="D519" s="9"/>
      <c r="E519" s="9"/>
      <c r="F519" s="9"/>
      <c r="G519" s="9"/>
      <c r="H519" s="9"/>
      <c r="I519" s="9"/>
    </row>
    <row r="520" spans="2:9" x14ac:dyDescent="0.25">
      <c r="B520" s="9"/>
      <c r="C520" s="9"/>
      <c r="D520" s="9"/>
      <c r="E520" s="9"/>
      <c r="F520" s="9"/>
      <c r="G520" s="9"/>
      <c r="H520" s="9"/>
      <c r="I520" s="9"/>
    </row>
    <row r="521" spans="2:9" x14ac:dyDescent="0.25">
      <c r="B521" s="9"/>
      <c r="C521" s="9"/>
      <c r="D521" s="9"/>
      <c r="E521" s="9"/>
      <c r="F521" s="9"/>
      <c r="G521" s="9"/>
      <c r="H521" s="9"/>
      <c r="I521" s="9"/>
    </row>
    <row r="522" spans="2:9" x14ac:dyDescent="0.25">
      <c r="B522" s="9"/>
      <c r="C522" s="9"/>
      <c r="D522" s="9"/>
      <c r="E522" s="9"/>
      <c r="F522" s="9"/>
      <c r="G522" s="9"/>
      <c r="H522" s="9"/>
      <c r="I522" s="9"/>
    </row>
    <row r="523" spans="2:9" x14ac:dyDescent="0.25">
      <c r="B523" s="9"/>
      <c r="C523" s="9"/>
      <c r="D523" s="9"/>
      <c r="E523" s="9"/>
      <c r="F523" s="9"/>
      <c r="G523" s="9"/>
      <c r="H523" s="9"/>
      <c r="I523" s="9"/>
    </row>
    <row r="524" spans="2:9" x14ac:dyDescent="0.25">
      <c r="B524" s="9"/>
      <c r="C524" s="9"/>
      <c r="D524" s="9"/>
      <c r="E524" s="9"/>
      <c r="F524" s="9"/>
      <c r="G524" s="9"/>
      <c r="H524" s="9"/>
      <c r="I524" s="9"/>
    </row>
    <row r="525" spans="2:9" x14ac:dyDescent="0.25">
      <c r="B525" s="9"/>
      <c r="C525" s="9"/>
      <c r="D525" s="9"/>
      <c r="E525" s="9"/>
      <c r="F525" s="9"/>
      <c r="G525" s="9"/>
      <c r="H525" s="9"/>
      <c r="I525" s="9"/>
    </row>
    <row r="526" spans="2:9" x14ac:dyDescent="0.25">
      <c r="B526" s="9"/>
      <c r="C526" s="9"/>
      <c r="D526" s="9"/>
      <c r="E526" s="9"/>
      <c r="F526" s="9"/>
      <c r="G526" s="9"/>
      <c r="H526" s="9"/>
      <c r="I526" s="9"/>
    </row>
    <row r="527" spans="2:9" x14ac:dyDescent="0.25">
      <c r="B527" s="9"/>
      <c r="C527" s="9"/>
      <c r="D527" s="9"/>
      <c r="E527" s="9"/>
      <c r="F527" s="9"/>
      <c r="G527" s="9"/>
      <c r="H527" s="9"/>
      <c r="I527" s="9"/>
    </row>
    <row r="528" spans="2:9" x14ac:dyDescent="0.25">
      <c r="B528" s="9"/>
      <c r="C528" s="9"/>
      <c r="D528" s="9"/>
      <c r="E528" s="9"/>
      <c r="F528" s="9"/>
      <c r="G528" s="9"/>
      <c r="H528" s="9"/>
      <c r="I528" s="9"/>
    </row>
    <row r="529" spans="2:9" x14ac:dyDescent="0.25">
      <c r="B529" s="9"/>
      <c r="C529" s="9"/>
      <c r="D529" s="9"/>
      <c r="E529" s="9"/>
      <c r="F529" s="9"/>
      <c r="G529" s="9"/>
      <c r="H529" s="9"/>
      <c r="I529" s="9"/>
    </row>
    <row r="530" spans="2:9" x14ac:dyDescent="0.25">
      <c r="B530" s="9"/>
      <c r="C530" s="9"/>
      <c r="D530" s="9"/>
      <c r="E530" s="9"/>
      <c r="F530" s="9"/>
      <c r="G530" s="9"/>
      <c r="H530" s="9"/>
      <c r="I530" s="9"/>
    </row>
    <row r="531" spans="2:9" x14ac:dyDescent="0.25">
      <c r="B531" s="9"/>
      <c r="C531" s="9"/>
      <c r="D531" s="9"/>
      <c r="E531" s="9"/>
      <c r="F531" s="9"/>
      <c r="G531" s="9"/>
      <c r="H531" s="9"/>
      <c r="I531" s="9"/>
    </row>
    <row r="532" spans="2:9" x14ac:dyDescent="0.25">
      <c r="B532" s="9"/>
      <c r="C532" s="9"/>
      <c r="D532" s="9"/>
      <c r="E532" s="9"/>
      <c r="F532" s="9"/>
      <c r="G532" s="9"/>
      <c r="H532" s="9"/>
      <c r="I532" s="9"/>
    </row>
    <row r="533" spans="2:9" x14ac:dyDescent="0.25">
      <c r="B533" s="9"/>
      <c r="C533" s="9"/>
      <c r="D533" s="9"/>
      <c r="E533" s="9"/>
      <c r="F533" s="9"/>
      <c r="G533" s="9"/>
      <c r="H533" s="9"/>
      <c r="I533" s="9"/>
    </row>
    <row r="534" spans="2:9" x14ac:dyDescent="0.25">
      <c r="B534" s="9"/>
      <c r="C534" s="9"/>
      <c r="D534" s="9"/>
      <c r="E534" s="9"/>
      <c r="F534" s="9"/>
      <c r="G534" s="9"/>
      <c r="H534" s="9"/>
      <c r="I534" s="9"/>
    </row>
    <row r="535" spans="2:9" x14ac:dyDescent="0.25">
      <c r="B535" s="9"/>
      <c r="C535" s="9"/>
      <c r="D535" s="9"/>
      <c r="E535" s="9"/>
      <c r="F535" s="9"/>
      <c r="G535" s="9"/>
      <c r="H535" s="9"/>
      <c r="I535" s="9"/>
    </row>
    <row r="536" spans="2:9" x14ac:dyDescent="0.25">
      <c r="B536" s="9"/>
      <c r="C536" s="9"/>
      <c r="D536" s="9"/>
      <c r="E536" s="9"/>
      <c r="F536" s="9"/>
      <c r="G536" s="9"/>
      <c r="H536" s="9"/>
      <c r="I536" s="9"/>
    </row>
    <row r="537" spans="2:9" x14ac:dyDescent="0.25">
      <c r="B537" s="9"/>
      <c r="C537" s="9"/>
      <c r="D537" s="9"/>
      <c r="E537" s="9"/>
      <c r="F537" s="9"/>
      <c r="G537" s="9"/>
      <c r="H537" s="9"/>
      <c r="I537" s="9"/>
    </row>
    <row r="538" spans="2:9" x14ac:dyDescent="0.25">
      <c r="B538" s="9"/>
      <c r="C538" s="9"/>
      <c r="D538" s="9"/>
      <c r="E538" s="9"/>
      <c r="F538" s="9"/>
      <c r="G538" s="9"/>
      <c r="H538" s="9"/>
      <c r="I538" s="9"/>
    </row>
    <row r="539" spans="2:9" x14ac:dyDescent="0.25">
      <c r="B539" s="9"/>
      <c r="C539" s="9"/>
      <c r="D539" s="9"/>
      <c r="E539" s="9"/>
      <c r="F539" s="9"/>
      <c r="G539" s="9"/>
      <c r="H539" s="9"/>
      <c r="I539" s="9"/>
    </row>
    <row r="540" spans="2:9" x14ac:dyDescent="0.25">
      <c r="B540" s="9"/>
      <c r="C540" s="9"/>
      <c r="D540" s="9"/>
      <c r="E540" s="9"/>
      <c r="F540" s="9"/>
      <c r="G540" s="9"/>
      <c r="H540" s="9"/>
      <c r="I540" s="9"/>
    </row>
    <row r="541" spans="2:9" x14ac:dyDescent="0.25">
      <c r="B541" s="9"/>
      <c r="C541" s="9"/>
      <c r="D541" s="9"/>
      <c r="E541" s="9"/>
      <c r="F541" s="9"/>
      <c r="G541" s="9"/>
      <c r="H541" s="9"/>
      <c r="I541" s="9"/>
    </row>
    <row r="542" spans="2:9" x14ac:dyDescent="0.25">
      <c r="B542" s="9"/>
      <c r="C542" s="9"/>
      <c r="D542" s="9"/>
      <c r="E542" s="9"/>
      <c r="F542" s="9"/>
      <c r="G542" s="9"/>
      <c r="H542" s="9"/>
      <c r="I542" s="9"/>
    </row>
    <row r="543" spans="2:9" x14ac:dyDescent="0.25">
      <c r="B543" s="9"/>
      <c r="C543" s="9"/>
      <c r="D543" s="9"/>
      <c r="E543" s="9"/>
      <c r="F543" s="9"/>
      <c r="G543" s="9"/>
      <c r="H543" s="9"/>
      <c r="I543" s="9"/>
    </row>
    <row r="544" spans="2:9" x14ac:dyDescent="0.25">
      <c r="B544" s="9"/>
      <c r="C544" s="9"/>
      <c r="D544" s="9"/>
      <c r="E544" s="9"/>
      <c r="F544" s="9"/>
      <c r="G544" s="9"/>
      <c r="H544" s="9"/>
      <c r="I544" s="9"/>
    </row>
    <row r="545" spans="2:9" x14ac:dyDescent="0.25">
      <c r="B545" s="9"/>
      <c r="C545" s="9"/>
      <c r="D545" s="9"/>
      <c r="E545" s="9"/>
      <c r="F545" s="9"/>
      <c r="G545" s="9"/>
      <c r="H545" s="9"/>
      <c r="I545" s="9"/>
    </row>
    <row r="546" spans="2:9" x14ac:dyDescent="0.25">
      <c r="B546" s="9"/>
      <c r="C546" s="9"/>
      <c r="D546" s="9"/>
      <c r="E546" s="9"/>
      <c r="F546" s="9"/>
      <c r="G546" s="9"/>
      <c r="H546" s="9"/>
      <c r="I546" s="9"/>
    </row>
    <row r="547" spans="2:9" x14ac:dyDescent="0.25">
      <c r="B547" s="9"/>
      <c r="C547" s="9"/>
      <c r="D547" s="9"/>
      <c r="E547" s="9"/>
      <c r="F547" s="9"/>
      <c r="G547" s="9"/>
      <c r="H547" s="9"/>
      <c r="I547" s="9"/>
    </row>
    <row r="548" spans="2:9" x14ac:dyDescent="0.25">
      <c r="B548" s="9"/>
      <c r="C548" s="9"/>
      <c r="D548" s="9"/>
      <c r="E548" s="9"/>
      <c r="F548" s="9"/>
      <c r="G548" s="9"/>
      <c r="H548" s="9"/>
      <c r="I548" s="9"/>
    </row>
    <row r="549" spans="2:9" x14ac:dyDescent="0.25">
      <c r="B549" s="9"/>
      <c r="C549" s="9"/>
      <c r="D549" s="9"/>
      <c r="E549" s="9"/>
      <c r="F549" s="9"/>
      <c r="G549" s="9"/>
      <c r="H549" s="9"/>
      <c r="I549" s="9"/>
    </row>
    <row r="550" spans="2:9" x14ac:dyDescent="0.25">
      <c r="B550" s="9"/>
      <c r="C550" s="9"/>
      <c r="D550" s="9"/>
      <c r="E550" s="9"/>
      <c r="F550" s="9"/>
      <c r="G550" s="9"/>
      <c r="H550" s="9"/>
      <c r="I550" s="9"/>
    </row>
    <row r="551" spans="2:9" x14ac:dyDescent="0.25">
      <c r="B551" s="9"/>
      <c r="C551" s="9"/>
      <c r="D551" s="9"/>
      <c r="E551" s="9"/>
      <c r="F551" s="9"/>
      <c r="G551" s="9"/>
      <c r="H551" s="9"/>
      <c r="I551" s="9"/>
    </row>
    <row r="552" spans="2:9" x14ac:dyDescent="0.25">
      <c r="B552" s="9"/>
      <c r="C552" s="9"/>
      <c r="D552" s="9"/>
      <c r="E552" s="9"/>
      <c r="F552" s="9"/>
      <c r="G552" s="9"/>
      <c r="H552" s="9"/>
      <c r="I552" s="9"/>
    </row>
    <row r="553" spans="2:9" x14ac:dyDescent="0.25">
      <c r="B553" s="9"/>
      <c r="C553" s="9"/>
      <c r="D553" s="9"/>
      <c r="E553" s="9"/>
      <c r="F553" s="9"/>
      <c r="G553" s="9"/>
      <c r="H553" s="9"/>
      <c r="I553" s="9"/>
    </row>
    <row r="554" spans="2:9" x14ac:dyDescent="0.25">
      <c r="B554" s="9"/>
      <c r="C554" s="9"/>
      <c r="D554" s="9"/>
      <c r="E554" s="9"/>
      <c r="F554" s="9"/>
      <c r="G554" s="9"/>
      <c r="H554" s="9"/>
      <c r="I554" s="9"/>
    </row>
    <row r="555" spans="2:9" x14ac:dyDescent="0.25">
      <c r="B555" s="9"/>
      <c r="C555" s="9"/>
      <c r="D555" s="9"/>
      <c r="E555" s="9"/>
      <c r="F555" s="9"/>
      <c r="G555" s="9"/>
      <c r="H555" s="9"/>
      <c r="I555" s="9"/>
    </row>
    <row r="556" spans="2:9" x14ac:dyDescent="0.25">
      <c r="B556" s="9"/>
      <c r="C556" s="9"/>
      <c r="D556" s="9"/>
      <c r="E556" s="9"/>
      <c r="F556" s="9"/>
      <c r="G556" s="9"/>
      <c r="H556" s="9"/>
      <c r="I556" s="9"/>
    </row>
    <row r="557" spans="2:9" x14ac:dyDescent="0.25">
      <c r="B557" s="9"/>
      <c r="C557" s="9"/>
      <c r="D557" s="9"/>
      <c r="E557" s="9"/>
      <c r="F557" s="9"/>
      <c r="G557" s="9"/>
      <c r="H557" s="9"/>
      <c r="I557" s="9"/>
    </row>
    <row r="558" spans="2:9" x14ac:dyDescent="0.25">
      <c r="B558" s="9"/>
      <c r="C558" s="9"/>
      <c r="D558" s="9"/>
      <c r="E558" s="9"/>
      <c r="F558" s="9"/>
      <c r="G558" s="9"/>
      <c r="H558" s="9"/>
      <c r="I558" s="9"/>
    </row>
    <row r="559" spans="2:9" x14ac:dyDescent="0.25">
      <c r="B559" s="9"/>
      <c r="C559" s="9"/>
      <c r="D559" s="9"/>
      <c r="E559" s="9"/>
      <c r="F559" s="9"/>
      <c r="G559" s="9"/>
      <c r="H559" s="9"/>
      <c r="I559" s="9"/>
    </row>
    <row r="560" spans="2:9" x14ac:dyDescent="0.25">
      <c r="B560" s="9"/>
      <c r="C560" s="9"/>
      <c r="D560" s="9"/>
      <c r="E560" s="9"/>
      <c r="F560" s="9"/>
      <c r="G560" s="9"/>
      <c r="H560" s="9"/>
      <c r="I560" s="9"/>
    </row>
    <row r="561" spans="2:9" x14ac:dyDescent="0.25">
      <c r="B561" s="9"/>
      <c r="C561" s="9"/>
      <c r="D561" s="9"/>
      <c r="E561" s="9"/>
      <c r="F561" s="9"/>
      <c r="G561" s="9"/>
      <c r="H561" s="9"/>
      <c r="I561" s="9"/>
    </row>
    <row r="562" spans="2:9" x14ac:dyDescent="0.25">
      <c r="B562" s="9"/>
      <c r="C562" s="9"/>
      <c r="D562" s="9"/>
      <c r="E562" s="9"/>
      <c r="F562" s="9"/>
      <c r="G562" s="9"/>
      <c r="H562" s="9"/>
      <c r="I562" s="9"/>
    </row>
    <row r="563" spans="2:9" x14ac:dyDescent="0.25">
      <c r="B563" s="9"/>
      <c r="C563" s="9"/>
      <c r="D563" s="9"/>
      <c r="E563" s="9"/>
      <c r="F563" s="9"/>
      <c r="G563" s="9"/>
      <c r="H563" s="9"/>
      <c r="I563" s="9"/>
    </row>
    <row r="564" spans="2:9" x14ac:dyDescent="0.25">
      <c r="B564" s="9"/>
      <c r="C564" s="9"/>
      <c r="D564" s="9"/>
      <c r="E564" s="9"/>
      <c r="F564" s="9"/>
      <c r="G564" s="9"/>
      <c r="H564" s="9"/>
      <c r="I564" s="9"/>
    </row>
    <row r="565" spans="2:9" x14ac:dyDescent="0.25">
      <c r="B565" s="9"/>
      <c r="C565" s="9"/>
      <c r="D565" s="9"/>
      <c r="E565" s="9"/>
      <c r="F565" s="9"/>
      <c r="G565" s="9"/>
      <c r="H565" s="9"/>
      <c r="I565" s="9"/>
    </row>
    <row r="566" spans="2:9" x14ac:dyDescent="0.25">
      <c r="B566" s="9"/>
      <c r="C566" s="9"/>
      <c r="D566" s="9"/>
      <c r="E566" s="9"/>
      <c r="F566" s="9"/>
      <c r="G566" s="9"/>
      <c r="H566" s="9"/>
      <c r="I566" s="9"/>
    </row>
    <row r="567" spans="2:9" x14ac:dyDescent="0.25">
      <c r="B567" s="9"/>
      <c r="C567" s="9"/>
      <c r="D567" s="9"/>
      <c r="E567" s="9"/>
      <c r="F567" s="9"/>
      <c r="G567" s="9"/>
      <c r="H567" s="9"/>
      <c r="I567" s="9"/>
    </row>
    <row r="568" spans="2:9" x14ac:dyDescent="0.25">
      <c r="B568" s="9"/>
      <c r="C568" s="9"/>
      <c r="D568" s="9"/>
      <c r="E568" s="9"/>
      <c r="F568" s="9"/>
      <c r="G568" s="9"/>
      <c r="H568" s="9"/>
      <c r="I568" s="9"/>
    </row>
    <row r="569" spans="2:9" x14ac:dyDescent="0.25">
      <c r="B569" s="9"/>
      <c r="C569" s="9"/>
      <c r="D569" s="9"/>
      <c r="E569" s="9"/>
      <c r="F569" s="9"/>
      <c r="G569" s="9"/>
      <c r="H569" s="9"/>
      <c r="I569" s="9"/>
    </row>
    <row r="570" spans="2:9" x14ac:dyDescent="0.25">
      <c r="B570" s="9"/>
      <c r="C570" s="9"/>
      <c r="D570" s="9"/>
      <c r="E570" s="9"/>
      <c r="F570" s="9"/>
      <c r="G570" s="9"/>
      <c r="H570" s="9"/>
      <c r="I570" s="9"/>
    </row>
    <row r="571" spans="2:9" x14ac:dyDescent="0.25">
      <c r="B571" s="9"/>
      <c r="C571" s="9"/>
      <c r="D571" s="9"/>
      <c r="E571" s="9"/>
      <c r="F571" s="9"/>
      <c r="G571" s="9"/>
      <c r="H571" s="9"/>
      <c r="I571" s="9"/>
    </row>
    <row r="572" spans="2:9" x14ac:dyDescent="0.25">
      <c r="B572" s="9"/>
      <c r="C572" s="9"/>
      <c r="D572" s="9"/>
      <c r="E572" s="9"/>
      <c r="F572" s="9"/>
      <c r="G572" s="9"/>
      <c r="H572" s="9"/>
      <c r="I572" s="9"/>
    </row>
    <row r="573" spans="2:9" x14ac:dyDescent="0.25">
      <c r="B573" s="9"/>
      <c r="C573" s="9"/>
      <c r="D573" s="9"/>
      <c r="E573" s="9"/>
      <c r="F573" s="9"/>
      <c r="G573" s="9"/>
      <c r="H573" s="9"/>
      <c r="I573" s="9"/>
    </row>
    <row r="574" spans="2:9" x14ac:dyDescent="0.25">
      <c r="B574" s="9"/>
      <c r="C574" s="9"/>
      <c r="D574" s="9"/>
      <c r="E574" s="9"/>
      <c r="F574" s="9"/>
      <c r="G574" s="9"/>
      <c r="H574" s="9"/>
      <c r="I574" s="9"/>
    </row>
    <row r="575" spans="2:9" x14ac:dyDescent="0.25">
      <c r="B575" s="9"/>
      <c r="C575" s="9"/>
      <c r="D575" s="9"/>
      <c r="E575" s="9"/>
      <c r="F575" s="9"/>
      <c r="G575" s="9"/>
      <c r="H575" s="9"/>
      <c r="I575" s="9"/>
    </row>
    <row r="576" spans="2:9" x14ac:dyDescent="0.25">
      <c r="B576" s="9"/>
      <c r="C576" s="9"/>
      <c r="D576" s="9"/>
      <c r="E576" s="9"/>
      <c r="F576" s="9"/>
      <c r="G576" s="9"/>
      <c r="H576" s="9"/>
      <c r="I576" s="9"/>
    </row>
    <row r="577" spans="2:9" x14ac:dyDescent="0.25">
      <c r="B577" s="9"/>
      <c r="C577" s="9"/>
      <c r="D577" s="9"/>
      <c r="E577" s="9"/>
      <c r="F577" s="9"/>
      <c r="G577" s="9"/>
      <c r="H577" s="9"/>
      <c r="I577" s="9"/>
    </row>
    <row r="578" spans="2:9" x14ac:dyDescent="0.25">
      <c r="B578" s="9"/>
      <c r="C578" s="9"/>
      <c r="D578" s="9"/>
      <c r="E578" s="9"/>
      <c r="F578" s="9"/>
      <c r="G578" s="9"/>
      <c r="H578" s="9"/>
      <c r="I578" s="9"/>
    </row>
    <row r="579" spans="2:9" x14ac:dyDescent="0.25">
      <c r="B579" s="9"/>
      <c r="C579" s="9"/>
      <c r="D579" s="9"/>
      <c r="E579" s="9"/>
      <c r="F579" s="9"/>
      <c r="G579" s="9"/>
      <c r="H579" s="9"/>
      <c r="I579" s="9"/>
    </row>
    <row r="580" spans="2:9" x14ac:dyDescent="0.25">
      <c r="B580" s="9"/>
      <c r="C580" s="9"/>
      <c r="D580" s="9"/>
      <c r="E580" s="9"/>
      <c r="F580" s="9"/>
      <c r="G580" s="9"/>
      <c r="H580" s="9"/>
      <c r="I580" s="9"/>
    </row>
    <row r="581" spans="2:9" x14ac:dyDescent="0.25">
      <c r="B581" s="9"/>
      <c r="C581" s="9"/>
      <c r="D581" s="9"/>
      <c r="E581" s="9"/>
      <c r="F581" s="9"/>
      <c r="G581" s="9"/>
      <c r="H581" s="9"/>
      <c r="I581" s="9"/>
    </row>
    <row r="582" spans="2:9" x14ac:dyDescent="0.25">
      <c r="B582" s="9"/>
      <c r="C582" s="9"/>
      <c r="D582" s="9"/>
      <c r="E582" s="9"/>
      <c r="F582" s="9"/>
      <c r="G582" s="9"/>
      <c r="H582" s="9"/>
      <c r="I582" s="9"/>
    </row>
    <row r="583" spans="2:9" x14ac:dyDescent="0.25">
      <c r="B583" s="9"/>
      <c r="C583" s="9"/>
      <c r="D583" s="9"/>
      <c r="E583" s="9"/>
      <c r="F583" s="9"/>
      <c r="G583" s="9"/>
      <c r="H583" s="9"/>
      <c r="I583" s="9"/>
    </row>
    <row r="584" spans="2:9" x14ac:dyDescent="0.25">
      <c r="B584" s="9"/>
      <c r="C584" s="9"/>
      <c r="D584" s="9"/>
      <c r="E584" s="9"/>
      <c r="F584" s="9"/>
      <c r="G584" s="9"/>
      <c r="H584" s="9"/>
      <c r="I584" s="9"/>
    </row>
    <row r="585" spans="2:9" x14ac:dyDescent="0.25">
      <c r="B585" s="9"/>
      <c r="C585" s="9"/>
      <c r="D585" s="9"/>
      <c r="E585" s="9"/>
      <c r="F585" s="9"/>
      <c r="G585" s="9"/>
      <c r="H585" s="9"/>
      <c r="I585" s="9"/>
    </row>
    <row r="586" spans="2:9" x14ac:dyDescent="0.25">
      <c r="B586" s="9"/>
      <c r="C586" s="9"/>
      <c r="D586" s="9"/>
      <c r="E586" s="9"/>
      <c r="F586" s="9"/>
      <c r="G586" s="9"/>
      <c r="H586" s="9"/>
      <c r="I586" s="9"/>
    </row>
    <row r="587" spans="2:9" x14ac:dyDescent="0.25">
      <c r="B587" s="9"/>
      <c r="C587" s="9"/>
      <c r="D587" s="9"/>
      <c r="E587" s="9"/>
      <c r="F587" s="9"/>
      <c r="G587" s="9"/>
      <c r="H587" s="9"/>
      <c r="I587" s="9"/>
    </row>
    <row r="588" spans="2:9" x14ac:dyDescent="0.25">
      <c r="B588" s="9"/>
      <c r="C588" s="9"/>
      <c r="D588" s="9"/>
      <c r="E588" s="9"/>
      <c r="F588" s="9"/>
      <c r="G588" s="9"/>
      <c r="H588" s="9"/>
      <c r="I588" s="9"/>
    </row>
    <row r="589" spans="2:9" x14ac:dyDescent="0.25">
      <c r="B589" s="9"/>
      <c r="C589" s="9"/>
      <c r="D589" s="9"/>
      <c r="E589" s="9"/>
      <c r="F589" s="9"/>
      <c r="G589" s="9"/>
      <c r="H589" s="9"/>
      <c r="I589" s="9"/>
    </row>
    <row r="590" spans="2:9" x14ac:dyDescent="0.25">
      <c r="B590" s="9"/>
      <c r="C590" s="9"/>
      <c r="D590" s="9"/>
      <c r="E590" s="9"/>
      <c r="F590" s="9"/>
      <c r="G590" s="9"/>
      <c r="H590" s="9"/>
      <c r="I590" s="9"/>
    </row>
    <row r="591" spans="2:9" x14ac:dyDescent="0.25">
      <c r="B591" s="9"/>
      <c r="C591" s="9"/>
      <c r="D591" s="9"/>
      <c r="E591" s="9"/>
      <c r="F591" s="9"/>
      <c r="G591" s="9"/>
      <c r="H591" s="9"/>
      <c r="I591" s="9"/>
    </row>
    <row r="592" spans="2:9" x14ac:dyDescent="0.25">
      <c r="B592" s="9"/>
      <c r="C592" s="9"/>
      <c r="D592" s="9"/>
      <c r="E592" s="9"/>
      <c r="F592" s="9"/>
      <c r="G592" s="9"/>
      <c r="H592" s="9"/>
      <c r="I592" s="9"/>
    </row>
    <row r="593" spans="2:9" x14ac:dyDescent="0.25">
      <c r="B593" s="9"/>
      <c r="C593" s="9"/>
      <c r="D593" s="9"/>
      <c r="E593" s="9"/>
      <c r="F593" s="9"/>
      <c r="G593" s="9"/>
      <c r="H593" s="9"/>
      <c r="I593" s="9"/>
    </row>
    <row r="594" spans="2:9" x14ac:dyDescent="0.25">
      <c r="B594" s="9"/>
      <c r="C594" s="9"/>
      <c r="D594" s="9"/>
      <c r="E594" s="9"/>
      <c r="F594" s="9"/>
      <c r="G594" s="9"/>
      <c r="H594" s="9"/>
      <c r="I594" s="9"/>
    </row>
    <row r="595" spans="2:9" x14ac:dyDescent="0.25">
      <c r="B595" s="9"/>
      <c r="C595" s="9"/>
      <c r="D595" s="9"/>
      <c r="E595" s="9"/>
      <c r="F595" s="9"/>
      <c r="G595" s="9"/>
      <c r="H595" s="9"/>
      <c r="I595" s="9"/>
    </row>
    <row r="596" spans="2:9" x14ac:dyDescent="0.25">
      <c r="B596" s="9"/>
      <c r="C596" s="9"/>
      <c r="D596" s="9"/>
      <c r="E596" s="9"/>
      <c r="F596" s="9"/>
      <c r="G596" s="9"/>
      <c r="H596" s="9"/>
      <c r="I596" s="9"/>
    </row>
    <row r="597" spans="2:9" x14ac:dyDescent="0.25">
      <c r="B597" s="9"/>
      <c r="C597" s="9"/>
      <c r="D597" s="9"/>
      <c r="E597" s="9"/>
      <c r="F597" s="9"/>
      <c r="G597" s="9"/>
      <c r="H597" s="9"/>
      <c r="I597" s="9"/>
    </row>
    <row r="598" spans="2:9" x14ac:dyDescent="0.25">
      <c r="B598" s="9"/>
      <c r="C598" s="9"/>
      <c r="D598" s="9"/>
      <c r="E598" s="9"/>
      <c r="F598" s="9"/>
      <c r="G598" s="9"/>
      <c r="H598" s="9"/>
      <c r="I598" s="9"/>
    </row>
    <row r="599" spans="2:9" x14ac:dyDescent="0.25">
      <c r="B599" s="9"/>
      <c r="C599" s="9"/>
      <c r="D599" s="9"/>
      <c r="E599" s="9"/>
      <c r="F599" s="9"/>
      <c r="G599" s="9"/>
      <c r="H599" s="9"/>
      <c r="I599" s="9"/>
    </row>
    <row r="600" spans="2:9" x14ac:dyDescent="0.25">
      <c r="B600" s="9"/>
      <c r="C600" s="9"/>
      <c r="D600" s="9"/>
      <c r="E600" s="9"/>
      <c r="F600" s="9"/>
      <c r="G600" s="9"/>
      <c r="H600" s="9"/>
      <c r="I600" s="9"/>
    </row>
    <row r="601" spans="2:9" x14ac:dyDescent="0.25">
      <c r="B601" s="9"/>
      <c r="C601" s="9"/>
      <c r="D601" s="9"/>
      <c r="E601" s="9"/>
      <c r="F601" s="9"/>
      <c r="G601" s="9"/>
      <c r="H601" s="9"/>
      <c r="I601" s="9"/>
    </row>
    <row r="602" spans="2:9" x14ac:dyDescent="0.25">
      <c r="B602" s="9"/>
      <c r="C602" s="9"/>
      <c r="D602" s="9"/>
      <c r="E602" s="9"/>
      <c r="F602" s="9"/>
      <c r="G602" s="9"/>
      <c r="H602" s="9"/>
      <c r="I602" s="9"/>
    </row>
    <row r="603" spans="2:9" x14ac:dyDescent="0.25">
      <c r="B603" s="9"/>
      <c r="C603" s="9"/>
      <c r="D603" s="9"/>
      <c r="E603" s="9"/>
      <c r="F603" s="9"/>
      <c r="G603" s="9"/>
      <c r="H603" s="9"/>
      <c r="I603" s="9"/>
    </row>
    <row r="604" spans="2:9" x14ac:dyDescent="0.25">
      <c r="B604" s="9"/>
      <c r="C604" s="9"/>
      <c r="D604" s="9"/>
      <c r="E604" s="9"/>
      <c r="F604" s="9"/>
      <c r="G604" s="9"/>
      <c r="H604" s="9"/>
      <c r="I604" s="9"/>
    </row>
    <row r="605" spans="2:9" x14ac:dyDescent="0.25">
      <c r="B605" s="9"/>
      <c r="C605" s="9"/>
      <c r="D605" s="9"/>
      <c r="E605" s="9"/>
      <c r="F605" s="9"/>
      <c r="G605" s="9"/>
      <c r="H605" s="9"/>
      <c r="I605" s="9"/>
    </row>
    <row r="606" spans="2:9" x14ac:dyDescent="0.25">
      <c r="B606" s="9"/>
      <c r="C606" s="9"/>
      <c r="D606" s="9"/>
      <c r="E606" s="9"/>
      <c r="F606" s="9"/>
      <c r="G606" s="9"/>
      <c r="H606" s="9"/>
      <c r="I606" s="9"/>
    </row>
    <row r="607" spans="2:9" x14ac:dyDescent="0.25">
      <c r="B607" s="9"/>
      <c r="C607" s="9"/>
      <c r="D607" s="9"/>
      <c r="E607" s="9"/>
      <c r="F607" s="9"/>
      <c r="G607" s="9"/>
      <c r="H607" s="9"/>
      <c r="I607" s="9"/>
    </row>
    <row r="608" spans="2:9" x14ac:dyDescent="0.25">
      <c r="B608" s="9"/>
      <c r="C608" s="9"/>
      <c r="D608" s="9"/>
      <c r="E608" s="9"/>
      <c r="F608" s="9"/>
      <c r="G608" s="9"/>
      <c r="H608" s="9"/>
      <c r="I608" s="9"/>
    </row>
    <row r="609" spans="2:9" x14ac:dyDescent="0.25">
      <c r="B609" s="9"/>
      <c r="C609" s="9"/>
      <c r="D609" s="9"/>
      <c r="E609" s="9"/>
      <c r="F609" s="9"/>
      <c r="G609" s="9"/>
      <c r="H609" s="9"/>
      <c r="I609" s="9"/>
    </row>
    <row r="610" spans="2:9" x14ac:dyDescent="0.25">
      <c r="B610" s="9"/>
      <c r="C610" s="9"/>
      <c r="D610" s="9"/>
      <c r="E610" s="9"/>
      <c r="F610" s="9"/>
      <c r="G610" s="9"/>
      <c r="H610" s="9"/>
      <c r="I610" s="9"/>
    </row>
    <row r="611" spans="2:9" x14ac:dyDescent="0.25">
      <c r="B611" s="9"/>
      <c r="C611" s="9"/>
      <c r="D611" s="9"/>
      <c r="E611" s="9"/>
      <c r="F611" s="9"/>
      <c r="G611" s="9"/>
      <c r="H611" s="9"/>
      <c r="I611" s="9"/>
    </row>
    <row r="612" spans="2:9" x14ac:dyDescent="0.25">
      <c r="B612" s="9"/>
      <c r="C612" s="9"/>
      <c r="D612" s="9"/>
      <c r="E612" s="9"/>
      <c r="F612" s="9"/>
      <c r="G612" s="9"/>
      <c r="H612" s="9"/>
      <c r="I612" s="9"/>
    </row>
    <row r="613" spans="2:9" x14ac:dyDescent="0.25">
      <c r="B613" s="9"/>
      <c r="C613" s="9"/>
      <c r="D613" s="9"/>
      <c r="E613" s="9"/>
      <c r="F613" s="9"/>
      <c r="G613" s="9"/>
      <c r="H613" s="9"/>
      <c r="I613" s="9"/>
    </row>
    <row r="614" spans="2:9" x14ac:dyDescent="0.25">
      <c r="B614" s="9"/>
      <c r="C614" s="9"/>
      <c r="D614" s="9"/>
      <c r="E614" s="9"/>
      <c r="F614" s="9"/>
      <c r="G614" s="9"/>
      <c r="H614" s="9"/>
      <c r="I614" s="9"/>
    </row>
    <row r="615" spans="2:9" x14ac:dyDescent="0.25">
      <c r="B615" s="9"/>
      <c r="C615" s="9"/>
      <c r="D615" s="9"/>
      <c r="E615" s="9"/>
      <c r="F615" s="9"/>
      <c r="G615" s="9"/>
      <c r="H615" s="9"/>
      <c r="I615" s="9"/>
    </row>
    <row r="616" spans="2:9" x14ac:dyDescent="0.25">
      <c r="B616" s="9"/>
      <c r="C616" s="9"/>
      <c r="D616" s="9"/>
      <c r="E616" s="9"/>
      <c r="F616" s="9"/>
      <c r="G616" s="9"/>
      <c r="H616" s="9"/>
      <c r="I616" s="9"/>
    </row>
    <row r="617" spans="2:9" x14ac:dyDescent="0.25">
      <c r="B617" s="9"/>
      <c r="C617" s="9"/>
      <c r="D617" s="9"/>
      <c r="E617" s="9"/>
      <c r="F617" s="9"/>
      <c r="G617" s="9"/>
      <c r="H617" s="9"/>
      <c r="I617" s="9"/>
    </row>
    <row r="618" spans="2:9" x14ac:dyDescent="0.25">
      <c r="B618" s="9"/>
      <c r="C618" s="9"/>
      <c r="D618" s="9"/>
      <c r="E618" s="9"/>
      <c r="F618" s="9"/>
      <c r="G618" s="9"/>
      <c r="H618" s="9"/>
      <c r="I618" s="9"/>
    </row>
    <row r="619" spans="2:9" x14ac:dyDescent="0.25">
      <c r="B619" s="9"/>
      <c r="C619" s="9"/>
      <c r="D619" s="9"/>
      <c r="E619" s="9"/>
      <c r="F619" s="9"/>
      <c r="G619" s="9"/>
      <c r="H619" s="9"/>
      <c r="I619" s="9"/>
    </row>
    <row r="620" spans="2:9" x14ac:dyDescent="0.25">
      <c r="B620" s="9"/>
      <c r="C620" s="9"/>
      <c r="D620" s="9"/>
      <c r="E620" s="9"/>
      <c r="F620" s="9"/>
      <c r="G620" s="9"/>
      <c r="H620" s="9"/>
      <c r="I620" s="9"/>
    </row>
    <row r="621" spans="2:9" x14ac:dyDescent="0.25">
      <c r="B621" s="9"/>
      <c r="C621" s="9"/>
      <c r="D621" s="9"/>
      <c r="E621" s="9"/>
      <c r="F621" s="9"/>
      <c r="G621" s="9"/>
      <c r="H621" s="9"/>
      <c r="I621" s="9"/>
    </row>
    <row r="622" spans="2:9" x14ac:dyDescent="0.25">
      <c r="B622" s="9"/>
      <c r="C622" s="9"/>
      <c r="D622" s="9"/>
      <c r="E622" s="9"/>
      <c r="F622" s="9"/>
      <c r="G622" s="9"/>
      <c r="H622" s="9"/>
      <c r="I622" s="9"/>
    </row>
    <row r="623" spans="2:9" x14ac:dyDescent="0.25">
      <c r="B623" s="9"/>
      <c r="C623" s="9"/>
      <c r="D623" s="9"/>
      <c r="E623" s="9"/>
      <c r="F623" s="9"/>
      <c r="G623" s="9"/>
      <c r="H623" s="9"/>
      <c r="I623" s="9"/>
    </row>
    <row r="624" spans="2:9" x14ac:dyDescent="0.25">
      <c r="B624" s="9"/>
      <c r="C624" s="9"/>
      <c r="D624" s="9"/>
      <c r="E624" s="9"/>
      <c r="F624" s="9"/>
      <c r="G624" s="9"/>
      <c r="H624" s="9"/>
      <c r="I624" s="9"/>
    </row>
    <row r="625" spans="2:9" x14ac:dyDescent="0.25">
      <c r="B625" s="9"/>
      <c r="C625" s="9"/>
      <c r="D625" s="9"/>
      <c r="E625" s="9"/>
      <c r="F625" s="9"/>
      <c r="G625" s="9"/>
      <c r="H625" s="9"/>
      <c r="I625" s="9"/>
    </row>
    <row r="626" spans="2:9" x14ac:dyDescent="0.25">
      <c r="B626" s="9"/>
      <c r="C626" s="9"/>
      <c r="D626" s="9"/>
      <c r="E626" s="9"/>
      <c r="F626" s="9"/>
      <c r="G626" s="9"/>
      <c r="H626" s="9"/>
      <c r="I626" s="9"/>
    </row>
    <row r="627" spans="2:9" x14ac:dyDescent="0.25">
      <c r="B627" s="9"/>
      <c r="C627" s="9"/>
      <c r="D627" s="9"/>
      <c r="E627" s="9"/>
      <c r="F627" s="9"/>
      <c r="G627" s="9"/>
      <c r="H627" s="9"/>
      <c r="I627" s="9"/>
    </row>
    <row r="628" spans="2:9" x14ac:dyDescent="0.25">
      <c r="B628" s="9"/>
      <c r="C628" s="9"/>
      <c r="D628" s="9"/>
      <c r="E628" s="9"/>
      <c r="F628" s="9"/>
      <c r="G628" s="9"/>
      <c r="H628" s="9"/>
      <c r="I628" s="9"/>
    </row>
    <row r="629" spans="2:9" x14ac:dyDescent="0.25">
      <c r="B629" s="9"/>
      <c r="C629" s="9"/>
      <c r="D629" s="9"/>
      <c r="E629" s="9"/>
      <c r="F629" s="9"/>
      <c r="G629" s="9"/>
      <c r="H629" s="9"/>
      <c r="I629" s="9"/>
    </row>
    <row r="630" spans="2:9" x14ac:dyDescent="0.25">
      <c r="B630" s="9"/>
      <c r="C630" s="9"/>
      <c r="D630" s="9"/>
      <c r="E630" s="9"/>
      <c r="F630" s="9"/>
      <c r="G630" s="9"/>
      <c r="H630" s="9"/>
      <c r="I630" s="9"/>
    </row>
    <row r="631" spans="2:9" x14ac:dyDescent="0.25">
      <c r="B631" s="9"/>
      <c r="C631" s="9"/>
      <c r="D631" s="9"/>
      <c r="E631" s="9"/>
      <c r="F631" s="9"/>
      <c r="G631" s="9"/>
      <c r="H631" s="9"/>
      <c r="I631" s="9"/>
    </row>
    <row r="632" spans="2:9" x14ac:dyDescent="0.25">
      <c r="B632" s="9"/>
      <c r="C632" s="9"/>
      <c r="D632" s="9"/>
      <c r="E632" s="9"/>
      <c r="F632" s="9"/>
      <c r="G632" s="9"/>
      <c r="H632" s="9"/>
      <c r="I632" s="9"/>
    </row>
    <row r="633" spans="2:9" x14ac:dyDescent="0.25">
      <c r="B633" s="9"/>
      <c r="C633" s="9"/>
      <c r="D633" s="9"/>
      <c r="E633" s="9"/>
      <c r="F633" s="9"/>
      <c r="G633" s="9"/>
      <c r="H633" s="9"/>
      <c r="I633" s="9"/>
    </row>
    <row r="634" spans="2:9" x14ac:dyDescent="0.25">
      <c r="B634" s="9"/>
      <c r="C634" s="9"/>
      <c r="D634" s="9"/>
      <c r="E634" s="9"/>
      <c r="F634" s="9"/>
      <c r="G634" s="9"/>
      <c r="H634" s="9"/>
      <c r="I634" s="9"/>
    </row>
    <row r="635" spans="2:9" x14ac:dyDescent="0.25">
      <c r="B635" s="9"/>
      <c r="C635" s="9"/>
      <c r="D635" s="9"/>
      <c r="E635" s="9"/>
      <c r="F635" s="9"/>
      <c r="G635" s="9"/>
      <c r="H635" s="9"/>
      <c r="I635" s="9"/>
    </row>
    <row r="636" spans="2:9" x14ac:dyDescent="0.25">
      <c r="B636" s="9"/>
      <c r="C636" s="9"/>
      <c r="D636" s="9"/>
      <c r="E636" s="9"/>
      <c r="F636" s="9"/>
      <c r="G636" s="9"/>
      <c r="H636" s="9"/>
      <c r="I636" s="9"/>
    </row>
    <row r="637" spans="2:9" x14ac:dyDescent="0.25">
      <c r="B637" s="9"/>
      <c r="C637" s="9"/>
      <c r="D637" s="9"/>
      <c r="E637" s="9"/>
      <c r="F637" s="9"/>
      <c r="G637" s="9"/>
      <c r="H637" s="9"/>
      <c r="I637" s="9"/>
    </row>
    <row r="638" spans="2:9" x14ac:dyDescent="0.25">
      <c r="B638" s="9"/>
      <c r="C638" s="9"/>
      <c r="D638" s="9"/>
      <c r="E638" s="9"/>
      <c r="F638" s="9"/>
      <c r="G638" s="9"/>
      <c r="H638" s="9"/>
      <c r="I638" s="9"/>
    </row>
    <row r="639" spans="2:9" x14ac:dyDescent="0.25">
      <c r="B639" s="9"/>
      <c r="C639" s="9"/>
      <c r="D639" s="9"/>
      <c r="E639" s="9"/>
      <c r="F639" s="9"/>
      <c r="G639" s="9"/>
      <c r="H639" s="9"/>
      <c r="I639" s="9"/>
    </row>
    <row r="640" spans="2:9" x14ac:dyDescent="0.25">
      <c r="B640" s="9"/>
      <c r="C640" s="9"/>
      <c r="D640" s="9"/>
      <c r="E640" s="9"/>
      <c r="F640" s="9"/>
      <c r="G640" s="9"/>
      <c r="H640" s="9"/>
      <c r="I640" s="9"/>
    </row>
    <row r="641" spans="2:9" x14ac:dyDescent="0.25">
      <c r="B641" s="9"/>
      <c r="C641" s="9"/>
      <c r="D641" s="9"/>
      <c r="E641" s="9"/>
      <c r="F641" s="9"/>
      <c r="G641" s="9"/>
      <c r="H641" s="9"/>
      <c r="I641" s="9"/>
    </row>
    <row r="642" spans="2:9" x14ac:dyDescent="0.25">
      <c r="B642" s="9"/>
      <c r="C642" s="9"/>
      <c r="D642" s="9"/>
      <c r="E642" s="9"/>
      <c r="F642" s="9"/>
      <c r="G642" s="9"/>
      <c r="H642" s="9"/>
      <c r="I642" s="9"/>
    </row>
    <row r="643" spans="2:9" x14ac:dyDescent="0.25">
      <c r="B643" s="9"/>
      <c r="C643" s="9"/>
      <c r="D643" s="9"/>
      <c r="E643" s="9"/>
      <c r="F643" s="9"/>
      <c r="G643" s="9"/>
      <c r="H643" s="9"/>
      <c r="I643" s="9"/>
    </row>
    <row r="644" spans="2:9" x14ac:dyDescent="0.25">
      <c r="B644" s="9"/>
      <c r="C644" s="9"/>
      <c r="D644" s="9"/>
      <c r="E644" s="9"/>
      <c r="F644" s="9"/>
      <c r="G644" s="9"/>
      <c r="H644" s="9"/>
      <c r="I644" s="9"/>
    </row>
    <row r="645" spans="2:9" x14ac:dyDescent="0.25">
      <c r="B645" s="9"/>
      <c r="C645" s="9"/>
      <c r="D645" s="9"/>
      <c r="E645" s="9"/>
      <c r="F645" s="9"/>
      <c r="G645" s="9"/>
      <c r="H645" s="9"/>
      <c r="I645" s="9"/>
    </row>
    <row r="646" spans="2:9" x14ac:dyDescent="0.25">
      <c r="B646" s="9"/>
      <c r="C646" s="9"/>
      <c r="D646" s="9"/>
      <c r="E646" s="9"/>
      <c r="F646" s="9"/>
      <c r="G646" s="9"/>
      <c r="H646" s="9"/>
      <c r="I646" s="9"/>
    </row>
    <row r="647" spans="2:9" x14ac:dyDescent="0.25">
      <c r="B647" s="9"/>
      <c r="C647" s="9"/>
      <c r="D647" s="9"/>
      <c r="E647" s="9"/>
      <c r="F647" s="9"/>
      <c r="G647" s="9"/>
      <c r="H647" s="9"/>
      <c r="I647" s="9"/>
    </row>
    <row r="648" spans="2:9" x14ac:dyDescent="0.25">
      <c r="B648" s="9"/>
      <c r="C648" s="9"/>
      <c r="D648" s="9"/>
      <c r="E648" s="9"/>
      <c r="F648" s="9"/>
      <c r="G648" s="9"/>
      <c r="H648" s="9"/>
      <c r="I648" s="9"/>
    </row>
    <row r="649" spans="2:9" x14ac:dyDescent="0.25">
      <c r="B649" s="9"/>
      <c r="C649" s="9"/>
      <c r="D649" s="9"/>
      <c r="E649" s="9"/>
      <c r="F649" s="9"/>
      <c r="G649" s="9"/>
      <c r="H649" s="9"/>
      <c r="I649" s="9"/>
    </row>
    <row r="650" spans="2:9" x14ac:dyDescent="0.25">
      <c r="B650" s="9"/>
      <c r="C650" s="9"/>
      <c r="D650" s="9"/>
      <c r="E650" s="9"/>
      <c r="F650" s="9"/>
      <c r="G650" s="9"/>
      <c r="H650" s="9"/>
      <c r="I650" s="9"/>
    </row>
    <row r="651" spans="2:9" x14ac:dyDescent="0.25">
      <c r="B651" s="9"/>
      <c r="C651" s="9"/>
      <c r="D651" s="9"/>
      <c r="E651" s="9"/>
      <c r="F651" s="9"/>
      <c r="G651" s="9"/>
      <c r="H651" s="9"/>
      <c r="I651" s="9"/>
    </row>
    <row r="652" spans="2:9" x14ac:dyDescent="0.25">
      <c r="B652" s="9"/>
      <c r="C652" s="9"/>
      <c r="D652" s="9"/>
      <c r="E652" s="9"/>
      <c r="F652" s="9"/>
      <c r="G652" s="9"/>
      <c r="H652" s="9"/>
      <c r="I652" s="9"/>
    </row>
    <row r="653" spans="2:9" x14ac:dyDescent="0.25">
      <c r="B653" s="9"/>
      <c r="C653" s="9"/>
      <c r="D653" s="9"/>
      <c r="E653" s="9"/>
      <c r="F653" s="9"/>
      <c r="G653" s="9"/>
      <c r="H653" s="9"/>
      <c r="I653" s="9"/>
    </row>
    <row r="654" spans="2:9" x14ac:dyDescent="0.25">
      <c r="B654" s="9"/>
      <c r="C654" s="9"/>
      <c r="D654" s="9"/>
      <c r="E654" s="9"/>
      <c r="F654" s="9"/>
      <c r="G654" s="9"/>
      <c r="H654" s="9"/>
      <c r="I654" s="9"/>
    </row>
    <row r="655" spans="2:9" x14ac:dyDescent="0.25">
      <c r="B655" s="9"/>
      <c r="C655" s="9"/>
      <c r="D655" s="9"/>
      <c r="E655" s="9"/>
      <c r="F655" s="9"/>
      <c r="G655" s="9"/>
      <c r="H655" s="9"/>
      <c r="I655" s="9"/>
    </row>
    <row r="656" spans="2:9" x14ac:dyDescent="0.25">
      <c r="B656" s="9"/>
      <c r="C656" s="9"/>
      <c r="D656" s="9"/>
      <c r="E656" s="9"/>
      <c r="F656" s="9"/>
      <c r="G656" s="9"/>
      <c r="H656" s="9"/>
      <c r="I656" s="9"/>
    </row>
    <row r="657" spans="2:9" x14ac:dyDescent="0.25">
      <c r="B657" s="9"/>
      <c r="C657" s="9"/>
      <c r="D657" s="9"/>
      <c r="E657" s="9"/>
      <c r="F657" s="9"/>
      <c r="G657" s="9"/>
      <c r="H657" s="9"/>
      <c r="I657" s="9"/>
    </row>
    <row r="658" spans="2:9" x14ac:dyDescent="0.25">
      <c r="B658" s="9"/>
      <c r="C658" s="9"/>
      <c r="D658" s="9"/>
      <c r="E658" s="9"/>
      <c r="F658" s="9"/>
      <c r="G658" s="9"/>
      <c r="H658" s="9"/>
      <c r="I658" s="9"/>
    </row>
    <row r="659" spans="2:9" x14ac:dyDescent="0.25">
      <c r="B659" s="9"/>
      <c r="C659" s="9"/>
      <c r="D659" s="9"/>
      <c r="E659" s="9"/>
      <c r="F659" s="9"/>
      <c r="G659" s="9"/>
      <c r="H659" s="9"/>
      <c r="I659" s="9"/>
    </row>
    <row r="660" spans="2:9" x14ac:dyDescent="0.25">
      <c r="B660" s="9"/>
      <c r="C660" s="9"/>
      <c r="D660" s="9"/>
      <c r="E660" s="9"/>
      <c r="F660" s="9"/>
      <c r="G660" s="9"/>
      <c r="H660" s="9"/>
      <c r="I660" s="9"/>
    </row>
    <row r="661" spans="2:9" x14ac:dyDescent="0.25">
      <c r="B661" s="9"/>
      <c r="C661" s="9"/>
      <c r="D661" s="9"/>
      <c r="E661" s="9"/>
      <c r="F661" s="9"/>
      <c r="G661" s="9"/>
      <c r="H661" s="9"/>
      <c r="I661" s="9"/>
    </row>
    <row r="662" spans="2:9" x14ac:dyDescent="0.25">
      <c r="B662" s="9"/>
      <c r="C662" s="9"/>
      <c r="D662" s="9"/>
      <c r="E662" s="9"/>
      <c r="F662" s="9"/>
      <c r="G662" s="9"/>
      <c r="H662" s="9"/>
      <c r="I662" s="9"/>
    </row>
    <row r="663" spans="2:9" x14ac:dyDescent="0.25">
      <c r="B663" s="9"/>
      <c r="C663" s="9"/>
      <c r="D663" s="9"/>
      <c r="E663" s="9"/>
      <c r="F663" s="9"/>
      <c r="G663" s="9"/>
      <c r="H663" s="9"/>
      <c r="I663" s="9"/>
    </row>
    <row r="664" spans="2:9" x14ac:dyDescent="0.25">
      <c r="B664" s="9"/>
      <c r="C664" s="9"/>
      <c r="D664" s="9"/>
      <c r="E664" s="9"/>
      <c r="F664" s="9"/>
      <c r="G664" s="9"/>
      <c r="H664" s="9"/>
      <c r="I664" s="9"/>
    </row>
    <row r="665" spans="2:9" x14ac:dyDescent="0.25">
      <c r="B665" s="9"/>
      <c r="C665" s="9"/>
      <c r="D665" s="9"/>
      <c r="E665" s="9"/>
      <c r="F665" s="9"/>
      <c r="G665" s="9"/>
      <c r="H665" s="9"/>
      <c r="I665" s="9"/>
    </row>
    <row r="666" spans="2:9" x14ac:dyDescent="0.25">
      <c r="B666" s="9"/>
      <c r="C666" s="9"/>
      <c r="D666" s="9"/>
      <c r="E666" s="9"/>
      <c r="F666" s="9"/>
      <c r="G666" s="9"/>
      <c r="H666" s="9"/>
      <c r="I666" s="9"/>
    </row>
    <row r="667" spans="2:9" x14ac:dyDescent="0.25">
      <c r="B667" s="9"/>
      <c r="C667" s="9"/>
      <c r="D667" s="9"/>
      <c r="E667" s="9"/>
      <c r="F667" s="9"/>
      <c r="G667" s="9"/>
      <c r="H667" s="9"/>
      <c r="I667" s="9"/>
    </row>
    <row r="668" spans="2:9" x14ac:dyDescent="0.25">
      <c r="B668" s="9"/>
      <c r="C668" s="9"/>
      <c r="D668" s="9"/>
      <c r="E668" s="9"/>
      <c r="F668" s="9"/>
      <c r="G668" s="9"/>
      <c r="H668" s="9"/>
      <c r="I668" s="9"/>
    </row>
    <row r="669" spans="2:9" x14ac:dyDescent="0.25">
      <c r="B669" s="9"/>
      <c r="C669" s="9"/>
      <c r="D669" s="9"/>
      <c r="E669" s="9"/>
      <c r="F669" s="9"/>
      <c r="G669" s="9"/>
      <c r="H669" s="9"/>
      <c r="I669" s="9"/>
    </row>
    <row r="670" spans="2:9" x14ac:dyDescent="0.25">
      <c r="B670" s="9"/>
      <c r="C670" s="9"/>
      <c r="D670" s="9"/>
      <c r="E670" s="9"/>
      <c r="F670" s="9"/>
      <c r="G670" s="9"/>
      <c r="H670" s="9"/>
      <c r="I670" s="9"/>
    </row>
    <row r="671" spans="2:9" x14ac:dyDescent="0.25">
      <c r="B671" s="9"/>
      <c r="C671" s="9"/>
      <c r="D671" s="9"/>
      <c r="E671" s="9"/>
      <c r="F671" s="9"/>
      <c r="G671" s="9"/>
      <c r="H671" s="9"/>
      <c r="I671" s="9"/>
    </row>
    <row r="672" spans="2:9" x14ac:dyDescent="0.25">
      <c r="B672" s="9"/>
      <c r="C672" s="9"/>
      <c r="D672" s="9"/>
      <c r="E672" s="9"/>
      <c r="F672" s="9"/>
      <c r="G672" s="9"/>
      <c r="H672" s="9"/>
      <c r="I672" s="9"/>
    </row>
    <row r="673" spans="2:9" x14ac:dyDescent="0.25">
      <c r="B673" s="9"/>
      <c r="C673" s="9"/>
      <c r="D673" s="9"/>
      <c r="E673" s="9"/>
      <c r="F673" s="9"/>
      <c r="G673" s="9"/>
      <c r="H673" s="9"/>
      <c r="I673" s="9"/>
    </row>
    <row r="674" spans="2:9" x14ac:dyDescent="0.25">
      <c r="B674" s="9"/>
      <c r="C674" s="9"/>
      <c r="D674" s="9"/>
      <c r="E674" s="9"/>
      <c r="F674" s="9"/>
      <c r="G674" s="9"/>
      <c r="H674" s="9"/>
      <c r="I674" s="9"/>
    </row>
    <row r="675" spans="2:9" x14ac:dyDescent="0.25">
      <c r="B675" s="9"/>
      <c r="C675" s="9"/>
      <c r="D675" s="9"/>
      <c r="E675" s="9"/>
      <c r="F675" s="9"/>
      <c r="G675" s="9"/>
      <c r="H675" s="9"/>
      <c r="I675" s="9"/>
    </row>
    <row r="676" spans="2:9" x14ac:dyDescent="0.25">
      <c r="B676" s="9"/>
      <c r="C676" s="9"/>
      <c r="D676" s="9"/>
      <c r="E676" s="9"/>
      <c r="F676" s="9"/>
      <c r="G676" s="9"/>
      <c r="H676" s="9"/>
      <c r="I676" s="9"/>
    </row>
    <row r="677" spans="2:9" x14ac:dyDescent="0.25">
      <c r="B677" s="9"/>
      <c r="C677" s="9"/>
      <c r="D677" s="9"/>
      <c r="E677" s="9"/>
      <c r="F677" s="9"/>
      <c r="G677" s="9"/>
      <c r="H677" s="9"/>
      <c r="I677" s="9"/>
    </row>
    <row r="678" spans="2:9" x14ac:dyDescent="0.25">
      <c r="B678" s="9"/>
      <c r="C678" s="9"/>
      <c r="D678" s="9"/>
      <c r="E678" s="9"/>
      <c r="F678" s="9"/>
      <c r="G678" s="9"/>
      <c r="H678" s="9"/>
      <c r="I678" s="9"/>
    </row>
    <row r="679" spans="2:9" x14ac:dyDescent="0.25">
      <c r="B679" s="9"/>
      <c r="C679" s="9"/>
      <c r="D679" s="9"/>
      <c r="E679" s="9"/>
      <c r="F679" s="9"/>
      <c r="G679" s="9"/>
      <c r="H679" s="9"/>
      <c r="I679" s="9"/>
    </row>
    <row r="680" spans="2:9" x14ac:dyDescent="0.25">
      <c r="B680" s="9"/>
      <c r="C680" s="9"/>
      <c r="D680" s="9"/>
      <c r="E680" s="9"/>
      <c r="F680" s="9"/>
      <c r="G680" s="9"/>
      <c r="H680" s="9"/>
      <c r="I680" s="9"/>
    </row>
    <row r="681" spans="2:9" x14ac:dyDescent="0.25">
      <c r="B681" s="9"/>
      <c r="C681" s="9"/>
      <c r="D681" s="9"/>
      <c r="E681" s="9"/>
      <c r="F681" s="9"/>
      <c r="G681" s="9"/>
      <c r="H681" s="9"/>
      <c r="I681" s="9"/>
    </row>
    <row r="682" spans="2:9" x14ac:dyDescent="0.25">
      <c r="B682" s="9"/>
      <c r="C682" s="9"/>
      <c r="D682" s="9"/>
      <c r="E682" s="9"/>
      <c r="F682" s="9"/>
      <c r="G682" s="9"/>
      <c r="H682" s="9"/>
      <c r="I682" s="9"/>
    </row>
    <row r="683" spans="2:9" x14ac:dyDescent="0.25">
      <c r="B683" s="9"/>
      <c r="C683" s="9"/>
      <c r="D683" s="9"/>
      <c r="E683" s="9"/>
      <c r="F683" s="9"/>
      <c r="G683" s="9"/>
      <c r="H683" s="9"/>
      <c r="I683" s="9"/>
    </row>
    <row r="684" spans="2:9" x14ac:dyDescent="0.25">
      <c r="B684" s="9"/>
      <c r="C684" s="9"/>
      <c r="D684" s="9"/>
      <c r="E684" s="9"/>
      <c r="F684" s="9"/>
      <c r="G684" s="9"/>
      <c r="H684" s="9"/>
      <c r="I684" s="9"/>
    </row>
    <row r="685" spans="2:9" x14ac:dyDescent="0.25">
      <c r="B685" s="9"/>
      <c r="C685" s="9"/>
      <c r="D685" s="9"/>
      <c r="E685" s="9"/>
      <c r="F685" s="9"/>
      <c r="G685" s="9"/>
      <c r="H685" s="9"/>
      <c r="I685" s="9"/>
    </row>
    <row r="686" spans="2:9" x14ac:dyDescent="0.25">
      <c r="B686" s="9"/>
      <c r="C686" s="9"/>
      <c r="D686" s="9"/>
      <c r="E686" s="9"/>
      <c r="F686" s="9"/>
      <c r="G686" s="9"/>
      <c r="H686" s="9"/>
      <c r="I686" s="9"/>
    </row>
    <row r="687" spans="2:9" x14ac:dyDescent="0.25">
      <c r="B687" s="9"/>
      <c r="C687" s="9"/>
      <c r="D687" s="9"/>
      <c r="E687" s="9"/>
      <c r="F687" s="9"/>
      <c r="G687" s="9"/>
      <c r="H687" s="9"/>
      <c r="I687" s="9"/>
    </row>
    <row r="688" spans="2:9" x14ac:dyDescent="0.25">
      <c r="B688" s="9"/>
      <c r="C688" s="9"/>
      <c r="D688" s="9"/>
      <c r="E688" s="9"/>
      <c r="F688" s="9"/>
      <c r="G688" s="9"/>
      <c r="H688" s="9"/>
      <c r="I688" s="9"/>
    </row>
    <row r="689" spans="2:9" x14ac:dyDescent="0.25">
      <c r="B689" s="9"/>
      <c r="C689" s="9"/>
      <c r="D689" s="9"/>
      <c r="E689" s="9"/>
      <c r="F689" s="9"/>
      <c r="G689" s="9"/>
      <c r="H689" s="9"/>
      <c r="I689" s="9"/>
    </row>
    <row r="690" spans="2:9" x14ac:dyDescent="0.25">
      <c r="B690" s="9"/>
      <c r="C690" s="9"/>
      <c r="D690" s="9"/>
      <c r="E690" s="9"/>
      <c r="F690" s="9"/>
      <c r="G690" s="9"/>
      <c r="H690" s="9"/>
      <c r="I690" s="9"/>
    </row>
    <row r="691" spans="2:9" x14ac:dyDescent="0.25">
      <c r="B691" s="9"/>
      <c r="C691" s="9"/>
      <c r="D691" s="9"/>
      <c r="E691" s="9"/>
      <c r="F691" s="9"/>
      <c r="G691" s="9"/>
      <c r="H691" s="9"/>
      <c r="I691" s="9"/>
    </row>
    <row r="692" spans="2:9" x14ac:dyDescent="0.25">
      <c r="B692" s="9"/>
      <c r="C692" s="9"/>
      <c r="D692" s="9"/>
      <c r="E692" s="9"/>
      <c r="F692" s="9"/>
      <c r="G692" s="9"/>
      <c r="H692" s="9"/>
      <c r="I692" s="9"/>
    </row>
    <row r="693" spans="2:9" x14ac:dyDescent="0.25">
      <c r="B693" s="9"/>
      <c r="C693" s="9"/>
      <c r="D693" s="9"/>
      <c r="E693" s="9"/>
      <c r="F693" s="9"/>
      <c r="G693" s="9"/>
      <c r="H693" s="9"/>
      <c r="I693" s="9"/>
    </row>
    <row r="694" spans="2:9" x14ac:dyDescent="0.25">
      <c r="B694" s="9"/>
      <c r="C694" s="9"/>
      <c r="D694" s="9"/>
      <c r="E694" s="9"/>
      <c r="F694" s="9"/>
      <c r="G694" s="9"/>
      <c r="H694" s="9"/>
      <c r="I694" s="9"/>
    </row>
    <row r="695" spans="2:9" x14ac:dyDescent="0.25">
      <c r="B695" s="9"/>
      <c r="C695" s="9"/>
      <c r="D695" s="9"/>
      <c r="E695" s="9"/>
      <c r="F695" s="9"/>
      <c r="G695" s="9"/>
      <c r="H695" s="9"/>
      <c r="I695" s="9"/>
    </row>
    <row r="696" spans="2:9" x14ac:dyDescent="0.25">
      <c r="B696" s="9"/>
      <c r="C696" s="9"/>
      <c r="D696" s="9"/>
      <c r="E696" s="9"/>
      <c r="F696" s="9"/>
      <c r="G696" s="9"/>
      <c r="H696" s="9"/>
      <c r="I696" s="9"/>
    </row>
    <row r="697" spans="2:9" x14ac:dyDescent="0.25">
      <c r="B697" s="9"/>
      <c r="C697" s="9"/>
      <c r="D697" s="9"/>
      <c r="E697" s="9"/>
      <c r="F697" s="9"/>
      <c r="G697" s="9"/>
      <c r="H697" s="9"/>
      <c r="I697" s="9"/>
    </row>
    <row r="698" spans="2:9" x14ac:dyDescent="0.25">
      <c r="B698" s="9"/>
      <c r="C698" s="9"/>
      <c r="D698" s="9"/>
      <c r="E698" s="9"/>
      <c r="F698" s="9"/>
      <c r="G698" s="9"/>
      <c r="H698" s="9"/>
      <c r="I698" s="9"/>
    </row>
    <row r="699" spans="2:9" x14ac:dyDescent="0.25">
      <c r="B699" s="9"/>
      <c r="C699" s="9"/>
      <c r="D699" s="9"/>
      <c r="E699" s="9"/>
      <c r="F699" s="9"/>
      <c r="G699" s="9"/>
      <c r="H699" s="9"/>
      <c r="I699" s="9"/>
    </row>
    <row r="700" spans="2:9" x14ac:dyDescent="0.25">
      <c r="B700" s="9"/>
      <c r="C700" s="9"/>
      <c r="D700" s="9"/>
      <c r="E700" s="9"/>
      <c r="F700" s="9"/>
      <c r="G700" s="9"/>
      <c r="H700" s="9"/>
      <c r="I700" s="9"/>
    </row>
    <row r="701" spans="2:9" x14ac:dyDescent="0.25">
      <c r="B701" s="9"/>
      <c r="C701" s="9"/>
      <c r="D701" s="9"/>
      <c r="E701" s="9"/>
      <c r="F701" s="9"/>
      <c r="G701" s="9"/>
      <c r="H701" s="9"/>
      <c r="I701" s="9"/>
    </row>
    <row r="702" spans="2:9" x14ac:dyDescent="0.25">
      <c r="B702" s="9"/>
      <c r="C702" s="9"/>
      <c r="D702" s="9"/>
      <c r="E702" s="9"/>
      <c r="F702" s="9"/>
      <c r="G702" s="9"/>
      <c r="H702" s="9"/>
      <c r="I702" s="9"/>
    </row>
    <row r="703" spans="2:9" x14ac:dyDescent="0.25">
      <c r="B703" s="9"/>
      <c r="C703" s="9"/>
      <c r="D703" s="9"/>
      <c r="E703" s="9"/>
      <c r="F703" s="9"/>
      <c r="G703" s="9"/>
      <c r="H703" s="9"/>
      <c r="I703" s="9"/>
    </row>
    <row r="704" spans="2:9" x14ac:dyDescent="0.25">
      <c r="B704" s="9"/>
      <c r="C704" s="9"/>
      <c r="D704" s="9"/>
      <c r="E704" s="9"/>
      <c r="F704" s="9"/>
      <c r="G704" s="9"/>
      <c r="H704" s="9"/>
      <c r="I704" s="9"/>
    </row>
    <row r="705" spans="2:9" x14ac:dyDescent="0.25">
      <c r="B705" s="9"/>
      <c r="C705" s="9"/>
      <c r="D705" s="9"/>
      <c r="E705" s="9"/>
      <c r="F705" s="9"/>
      <c r="G705" s="9"/>
      <c r="H705" s="9"/>
      <c r="I705" s="9"/>
    </row>
    <row r="706" spans="2:9" x14ac:dyDescent="0.25">
      <c r="B706" s="9"/>
      <c r="C706" s="9"/>
      <c r="D706" s="9"/>
      <c r="E706" s="9"/>
      <c r="F706" s="9"/>
      <c r="G706" s="9"/>
      <c r="H706" s="9"/>
      <c r="I706" s="9"/>
    </row>
    <row r="707" spans="2:9" x14ac:dyDescent="0.25">
      <c r="B707" s="9"/>
      <c r="C707" s="9"/>
      <c r="D707" s="9"/>
      <c r="E707" s="9"/>
      <c r="F707" s="9"/>
      <c r="G707" s="9"/>
      <c r="H707" s="9"/>
      <c r="I707" s="9"/>
    </row>
    <row r="708" spans="2:9" x14ac:dyDescent="0.25">
      <c r="B708" s="9"/>
      <c r="C708" s="9"/>
      <c r="D708" s="9"/>
      <c r="E708" s="9"/>
      <c r="F708" s="9"/>
      <c r="G708" s="9"/>
      <c r="H708" s="9"/>
      <c r="I708" s="9"/>
    </row>
    <row r="709" spans="2:9" x14ac:dyDescent="0.25">
      <c r="B709" s="9"/>
      <c r="C709" s="9"/>
      <c r="D709" s="9"/>
      <c r="E709" s="9"/>
      <c r="F709" s="9"/>
      <c r="G709" s="9"/>
      <c r="H709" s="9"/>
      <c r="I709" s="9"/>
    </row>
    <row r="710" spans="2:9" x14ac:dyDescent="0.25">
      <c r="B710" s="9"/>
      <c r="C710" s="9"/>
      <c r="D710" s="9"/>
      <c r="E710" s="9"/>
      <c r="F710" s="9"/>
      <c r="G710" s="9"/>
      <c r="H710" s="9"/>
      <c r="I710" s="9"/>
    </row>
    <row r="711" spans="2:9" x14ac:dyDescent="0.25">
      <c r="B711" s="9"/>
      <c r="C711" s="9"/>
      <c r="D711" s="9"/>
      <c r="E711" s="9"/>
      <c r="F711" s="9"/>
      <c r="G711" s="9"/>
      <c r="H711" s="9"/>
      <c r="I711" s="9"/>
    </row>
    <row r="712" spans="2:9" x14ac:dyDescent="0.25">
      <c r="B712" s="9"/>
      <c r="C712" s="9"/>
      <c r="D712" s="9"/>
      <c r="E712" s="9"/>
      <c r="F712" s="9"/>
      <c r="G712" s="9"/>
      <c r="H712" s="9"/>
      <c r="I712" s="9"/>
    </row>
    <row r="713" spans="2:9" x14ac:dyDescent="0.25">
      <c r="B713" s="9"/>
      <c r="C713" s="9"/>
      <c r="D713" s="9"/>
      <c r="E713" s="9"/>
      <c r="F713" s="9"/>
      <c r="G713" s="9"/>
      <c r="H713" s="9"/>
      <c r="I713" s="9"/>
    </row>
    <row r="714" spans="2:9" x14ac:dyDescent="0.25">
      <c r="B714" s="9"/>
      <c r="C714" s="9"/>
      <c r="D714" s="9"/>
      <c r="E714" s="9"/>
      <c r="F714" s="9"/>
      <c r="G714" s="9"/>
      <c r="H714" s="9"/>
      <c r="I714" s="9"/>
    </row>
    <row r="715" spans="2:9" x14ac:dyDescent="0.25">
      <c r="B715" s="9"/>
      <c r="C715" s="9"/>
      <c r="D715" s="9"/>
      <c r="E715" s="9"/>
      <c r="F715" s="9"/>
      <c r="G715" s="9"/>
      <c r="H715" s="9"/>
      <c r="I715" s="9"/>
    </row>
    <row r="716" spans="2:9" x14ac:dyDescent="0.25">
      <c r="B716" s="9"/>
      <c r="C716" s="9"/>
      <c r="D716" s="9"/>
      <c r="E716" s="9"/>
      <c r="F716" s="9"/>
      <c r="G716" s="9"/>
      <c r="H716" s="9"/>
      <c r="I716" s="9"/>
    </row>
    <row r="717" spans="2:9" x14ac:dyDescent="0.25">
      <c r="B717" s="9"/>
      <c r="C717" s="9"/>
      <c r="D717" s="9"/>
      <c r="E717" s="9"/>
      <c r="F717" s="9"/>
      <c r="G717" s="9"/>
      <c r="H717" s="9"/>
      <c r="I717" s="9"/>
    </row>
    <row r="718" spans="2:9" x14ac:dyDescent="0.25">
      <c r="B718" s="9"/>
      <c r="C718" s="9"/>
      <c r="D718" s="9"/>
      <c r="E718" s="9"/>
      <c r="F718" s="9"/>
      <c r="G718" s="9"/>
      <c r="H718" s="9"/>
      <c r="I718" s="9"/>
    </row>
    <row r="719" spans="2:9" x14ac:dyDescent="0.25">
      <c r="B719" s="9"/>
      <c r="C719" s="9"/>
      <c r="D719" s="9"/>
      <c r="E719" s="9"/>
      <c r="F719" s="9"/>
      <c r="G719" s="9"/>
      <c r="H719" s="9"/>
      <c r="I719" s="9"/>
    </row>
    <row r="720" spans="2:9" x14ac:dyDescent="0.25">
      <c r="B720" s="9"/>
      <c r="C720" s="9"/>
      <c r="D720" s="9"/>
      <c r="E720" s="9"/>
      <c r="F720" s="9"/>
      <c r="G720" s="9"/>
      <c r="H720" s="9"/>
      <c r="I720" s="9"/>
    </row>
    <row r="721" spans="2:9" x14ac:dyDescent="0.25">
      <c r="B721" s="9"/>
      <c r="C721" s="9"/>
      <c r="D721" s="9"/>
      <c r="E721" s="9"/>
      <c r="F721" s="9"/>
      <c r="G721" s="9"/>
      <c r="H721" s="9"/>
      <c r="I721" s="9"/>
    </row>
    <row r="722" spans="2:9" x14ac:dyDescent="0.25">
      <c r="B722" s="9"/>
      <c r="C722" s="9"/>
      <c r="D722" s="9"/>
      <c r="E722" s="9"/>
      <c r="F722" s="9"/>
      <c r="G722" s="9"/>
      <c r="H722" s="9"/>
      <c r="I722" s="9"/>
    </row>
    <row r="723" spans="2:9" x14ac:dyDescent="0.25">
      <c r="B723" s="9"/>
      <c r="C723" s="9"/>
      <c r="D723" s="9"/>
      <c r="E723" s="9"/>
      <c r="F723" s="9"/>
      <c r="G723" s="9"/>
      <c r="H723" s="9"/>
      <c r="I723" s="9"/>
    </row>
    <row r="724" spans="2:9" x14ac:dyDescent="0.25">
      <c r="B724" s="9"/>
      <c r="C724" s="9"/>
      <c r="D724" s="9"/>
      <c r="E724" s="9"/>
      <c r="F724" s="9"/>
      <c r="G724" s="9"/>
      <c r="H724" s="9"/>
      <c r="I724" s="9"/>
    </row>
    <row r="725" spans="2:9" x14ac:dyDescent="0.25">
      <c r="B725" s="9"/>
      <c r="C725" s="9"/>
      <c r="D725" s="9"/>
      <c r="E725" s="9"/>
      <c r="F725" s="9"/>
      <c r="G725" s="9"/>
      <c r="H725" s="9"/>
      <c r="I725" s="9"/>
    </row>
    <row r="726" spans="2:9" x14ac:dyDescent="0.25">
      <c r="B726" s="9"/>
      <c r="C726" s="9"/>
      <c r="D726" s="9"/>
      <c r="E726" s="9"/>
      <c r="F726" s="9"/>
      <c r="G726" s="9"/>
      <c r="H726" s="9"/>
      <c r="I726" s="9"/>
    </row>
    <row r="727" spans="2:9" x14ac:dyDescent="0.25">
      <c r="B727" s="9"/>
      <c r="C727" s="9"/>
      <c r="D727" s="9"/>
      <c r="E727" s="9"/>
      <c r="F727" s="9"/>
      <c r="G727" s="9"/>
      <c r="H727" s="9"/>
      <c r="I727" s="9"/>
    </row>
    <row r="728" spans="2:9" x14ac:dyDescent="0.25">
      <c r="B728" s="9"/>
      <c r="C728" s="9"/>
      <c r="D728" s="9"/>
      <c r="E728" s="9"/>
      <c r="F728" s="9"/>
      <c r="G728" s="9"/>
      <c r="H728" s="9"/>
      <c r="I728" s="9"/>
    </row>
    <row r="729" spans="2:9" x14ac:dyDescent="0.25">
      <c r="B729" s="9"/>
      <c r="C729" s="9"/>
      <c r="D729" s="9"/>
      <c r="E729" s="9"/>
      <c r="F729" s="9"/>
      <c r="G729" s="9"/>
      <c r="H729" s="9"/>
      <c r="I729" s="9"/>
    </row>
    <row r="730" spans="2:9" x14ac:dyDescent="0.25">
      <c r="B730" s="9"/>
      <c r="C730" s="9"/>
      <c r="D730" s="9"/>
      <c r="E730" s="9"/>
      <c r="F730" s="9"/>
      <c r="G730" s="9"/>
      <c r="H730" s="9"/>
      <c r="I730" s="9"/>
    </row>
    <row r="731" spans="2:9" x14ac:dyDescent="0.25">
      <c r="B731" s="9"/>
      <c r="C731" s="9"/>
      <c r="D731" s="9"/>
      <c r="E731" s="9"/>
      <c r="F731" s="9"/>
      <c r="G731" s="9"/>
      <c r="H731" s="9"/>
      <c r="I731" s="9"/>
    </row>
    <row r="732" spans="2:9" x14ac:dyDescent="0.25">
      <c r="B732" s="9"/>
      <c r="C732" s="9"/>
      <c r="D732" s="9"/>
      <c r="E732" s="9"/>
      <c r="F732" s="9"/>
      <c r="G732" s="9"/>
      <c r="H732" s="9"/>
      <c r="I732" s="9"/>
    </row>
    <row r="733" spans="2:9" x14ac:dyDescent="0.25">
      <c r="B733" s="9"/>
      <c r="C733" s="9"/>
      <c r="D733" s="9"/>
      <c r="E733" s="9"/>
      <c r="F733" s="9"/>
      <c r="G733" s="9"/>
      <c r="H733" s="9"/>
      <c r="I733" s="9"/>
    </row>
    <row r="734" spans="2:9" x14ac:dyDescent="0.25">
      <c r="B734" s="9"/>
      <c r="C734" s="9"/>
      <c r="D734" s="9"/>
      <c r="E734" s="9"/>
      <c r="F734" s="9"/>
      <c r="G734" s="9"/>
      <c r="H734" s="9"/>
      <c r="I734" s="9"/>
    </row>
    <row r="735" spans="2:9" x14ac:dyDescent="0.25">
      <c r="B735" s="9"/>
      <c r="C735" s="9"/>
      <c r="D735" s="9"/>
      <c r="E735" s="9"/>
      <c r="F735" s="9"/>
      <c r="G735" s="9"/>
      <c r="H735" s="9"/>
      <c r="I735" s="9"/>
    </row>
    <row r="736" spans="2:9" x14ac:dyDescent="0.25">
      <c r="B736" s="9"/>
      <c r="C736" s="9"/>
      <c r="D736" s="9"/>
      <c r="E736" s="9"/>
      <c r="F736" s="9"/>
      <c r="G736" s="9"/>
      <c r="H736" s="9"/>
      <c r="I736" s="9"/>
    </row>
    <row r="737" spans="2:9" x14ac:dyDescent="0.25">
      <c r="B737" s="9"/>
      <c r="C737" s="9"/>
      <c r="D737" s="9"/>
      <c r="E737" s="9"/>
      <c r="F737" s="9"/>
      <c r="G737" s="9"/>
      <c r="H737" s="9"/>
      <c r="I737" s="9"/>
    </row>
    <row r="738" spans="2:9" x14ac:dyDescent="0.25">
      <c r="B738" s="9"/>
      <c r="C738" s="9"/>
      <c r="D738" s="9"/>
      <c r="E738" s="9"/>
      <c r="F738" s="9"/>
      <c r="G738" s="9"/>
      <c r="H738" s="9"/>
      <c r="I738" s="9"/>
    </row>
    <row r="739" spans="2:9" x14ac:dyDescent="0.25">
      <c r="B739" s="9"/>
      <c r="C739" s="9"/>
      <c r="D739" s="9"/>
      <c r="E739" s="9"/>
      <c r="F739" s="9"/>
      <c r="G739" s="9"/>
      <c r="H739" s="9"/>
      <c r="I739" s="9"/>
    </row>
    <row r="740" spans="2:9" x14ac:dyDescent="0.25">
      <c r="B740" s="9"/>
      <c r="C740" s="9"/>
      <c r="D740" s="9"/>
      <c r="E740" s="9"/>
      <c r="F740" s="9"/>
      <c r="G740" s="9"/>
      <c r="H740" s="9"/>
      <c r="I740" s="9"/>
    </row>
    <row r="741" spans="2:9" x14ac:dyDescent="0.25">
      <c r="B741" s="9"/>
      <c r="C741" s="9"/>
      <c r="D741" s="9"/>
      <c r="E741" s="9"/>
      <c r="F741" s="9"/>
      <c r="G741" s="9"/>
      <c r="H741" s="9"/>
      <c r="I741" s="9"/>
    </row>
    <row r="742" spans="2:9" x14ac:dyDescent="0.25">
      <c r="B742" s="9"/>
      <c r="C742" s="9"/>
      <c r="D742" s="9"/>
      <c r="E742" s="9"/>
      <c r="F742" s="9"/>
      <c r="G742" s="9"/>
      <c r="H742" s="9"/>
      <c r="I742" s="9"/>
    </row>
    <row r="743" spans="2:9" x14ac:dyDescent="0.25">
      <c r="B743" s="9"/>
      <c r="C743" s="9"/>
      <c r="D743" s="9"/>
      <c r="E743" s="9"/>
      <c r="F743" s="9"/>
      <c r="G743" s="9"/>
      <c r="H743" s="9"/>
      <c r="I743" s="9"/>
    </row>
    <row r="744" spans="2:9" x14ac:dyDescent="0.25">
      <c r="B744" s="9"/>
      <c r="C744" s="9"/>
      <c r="D744" s="9"/>
      <c r="E744" s="9"/>
      <c r="F744" s="9"/>
      <c r="G744" s="9"/>
      <c r="H744" s="9"/>
      <c r="I744" s="9"/>
    </row>
    <row r="745" spans="2:9" x14ac:dyDescent="0.25">
      <c r="B745" s="9"/>
      <c r="C745" s="9"/>
      <c r="D745" s="9"/>
      <c r="E745" s="9"/>
      <c r="F745" s="9"/>
      <c r="G745" s="9"/>
      <c r="H745" s="9"/>
      <c r="I745" s="9"/>
    </row>
    <row r="746" spans="2:9" x14ac:dyDescent="0.25">
      <c r="B746" s="9"/>
      <c r="C746" s="9"/>
      <c r="D746" s="9"/>
      <c r="E746" s="9"/>
      <c r="F746" s="9"/>
      <c r="G746" s="9"/>
      <c r="H746" s="9"/>
      <c r="I746" s="9"/>
    </row>
    <row r="747" spans="2:9" x14ac:dyDescent="0.25">
      <c r="B747" s="9"/>
      <c r="C747" s="9"/>
      <c r="D747" s="9"/>
      <c r="E747" s="9"/>
      <c r="F747" s="9"/>
      <c r="G747" s="9"/>
      <c r="H747" s="9"/>
      <c r="I747" s="9"/>
    </row>
    <row r="748" spans="2:9" x14ac:dyDescent="0.25">
      <c r="B748" s="9"/>
      <c r="C748" s="9"/>
      <c r="D748" s="9"/>
      <c r="E748" s="9"/>
      <c r="F748" s="9"/>
      <c r="G748" s="9"/>
      <c r="H748" s="9"/>
      <c r="I748" s="9"/>
    </row>
    <row r="749" spans="2:9" x14ac:dyDescent="0.25">
      <c r="B749" s="9"/>
      <c r="C749" s="9"/>
      <c r="D749" s="9"/>
      <c r="E749" s="9"/>
      <c r="F749" s="9"/>
      <c r="G749" s="9"/>
      <c r="H749" s="9"/>
      <c r="I749" s="9"/>
    </row>
    <row r="750" spans="2:9" x14ac:dyDescent="0.25">
      <c r="B750" s="9"/>
      <c r="C750" s="9"/>
      <c r="D750" s="9"/>
      <c r="E750" s="9"/>
      <c r="F750" s="9"/>
      <c r="G750" s="9"/>
      <c r="H750" s="9"/>
      <c r="I750" s="9"/>
    </row>
    <row r="751" spans="2:9" x14ac:dyDescent="0.25">
      <c r="B751" s="9"/>
      <c r="C751" s="9"/>
      <c r="D751" s="9"/>
      <c r="E751" s="9"/>
      <c r="F751" s="9"/>
      <c r="G751" s="9"/>
      <c r="H751" s="9"/>
      <c r="I751" s="9"/>
    </row>
    <row r="752" spans="2:9" x14ac:dyDescent="0.25">
      <c r="B752" s="9"/>
      <c r="C752" s="9"/>
      <c r="D752" s="9"/>
      <c r="E752" s="9"/>
      <c r="F752" s="9"/>
      <c r="G752" s="9"/>
      <c r="H752" s="9"/>
      <c r="I752" s="9"/>
    </row>
    <row r="753" spans="2:9" x14ac:dyDescent="0.25">
      <c r="B753" s="9"/>
      <c r="C753" s="9"/>
      <c r="D753" s="9"/>
      <c r="E753" s="9"/>
      <c r="F753" s="9"/>
      <c r="G753" s="9"/>
      <c r="H753" s="9"/>
      <c r="I753" s="9"/>
    </row>
    <row r="754" spans="2:9" x14ac:dyDescent="0.25">
      <c r="B754" s="9"/>
      <c r="C754" s="9"/>
      <c r="D754" s="9"/>
      <c r="E754" s="9"/>
      <c r="F754" s="9"/>
      <c r="G754" s="9"/>
      <c r="H754" s="9"/>
      <c r="I754" s="9"/>
    </row>
    <row r="755" spans="2:9" x14ac:dyDescent="0.25">
      <c r="B755" s="9"/>
      <c r="C755" s="9"/>
      <c r="D755" s="9"/>
      <c r="E755" s="9"/>
      <c r="F755" s="9"/>
      <c r="G755" s="9"/>
      <c r="H755" s="9"/>
      <c r="I755" s="9"/>
    </row>
    <row r="756" spans="2:9" x14ac:dyDescent="0.25">
      <c r="B756" s="9"/>
      <c r="C756" s="9"/>
      <c r="D756" s="9"/>
      <c r="E756" s="9"/>
      <c r="F756" s="9"/>
      <c r="G756" s="9"/>
      <c r="H756" s="9"/>
      <c r="I756" s="9"/>
    </row>
    <row r="757" spans="2:9" x14ac:dyDescent="0.25">
      <c r="B757" s="9"/>
      <c r="C757" s="9"/>
      <c r="D757" s="9"/>
      <c r="E757" s="9"/>
      <c r="F757" s="9"/>
      <c r="G757" s="9"/>
      <c r="H757" s="9"/>
      <c r="I757" s="9"/>
    </row>
    <row r="758" spans="2:9" x14ac:dyDescent="0.25">
      <c r="B758" s="9"/>
      <c r="C758" s="9"/>
      <c r="D758" s="9"/>
      <c r="E758" s="9"/>
      <c r="F758" s="9"/>
      <c r="G758" s="9"/>
      <c r="H758" s="9"/>
      <c r="I758" s="9"/>
    </row>
    <row r="759" spans="2:9" x14ac:dyDescent="0.25">
      <c r="B759" s="9"/>
      <c r="C759" s="9"/>
      <c r="D759" s="9"/>
      <c r="E759" s="9"/>
      <c r="F759" s="9"/>
      <c r="G759" s="9"/>
      <c r="H759" s="9"/>
      <c r="I759" s="9"/>
    </row>
    <row r="760" spans="2:9" x14ac:dyDescent="0.25">
      <c r="B760" s="9"/>
      <c r="C760" s="9"/>
      <c r="D760" s="9"/>
      <c r="E760" s="9"/>
      <c r="F760" s="9"/>
      <c r="G760" s="9"/>
      <c r="H760" s="9"/>
      <c r="I760" s="9"/>
    </row>
    <row r="761" spans="2:9" x14ac:dyDescent="0.25">
      <c r="B761" s="9"/>
      <c r="C761" s="9"/>
      <c r="D761" s="9"/>
      <c r="E761" s="9"/>
      <c r="F761" s="9"/>
      <c r="G761" s="9"/>
      <c r="H761" s="9"/>
      <c r="I761" s="9"/>
    </row>
    <row r="762" spans="2:9" x14ac:dyDescent="0.25">
      <c r="B762" s="9"/>
      <c r="C762" s="9"/>
      <c r="D762" s="9"/>
      <c r="E762" s="9"/>
      <c r="F762" s="9"/>
      <c r="G762" s="9"/>
      <c r="H762" s="9"/>
      <c r="I762" s="9"/>
    </row>
    <row r="763" spans="2:9" x14ac:dyDescent="0.25">
      <c r="B763" s="9"/>
      <c r="C763" s="9"/>
      <c r="D763" s="9"/>
      <c r="E763" s="9"/>
      <c r="F763" s="9"/>
      <c r="G763" s="9"/>
      <c r="H763" s="9"/>
      <c r="I763" s="9"/>
    </row>
    <row r="764" spans="2:9" x14ac:dyDescent="0.25">
      <c r="B764" s="9"/>
      <c r="C764" s="9"/>
      <c r="D764" s="9"/>
      <c r="E764" s="9"/>
      <c r="F764" s="9"/>
      <c r="G764" s="9"/>
      <c r="H764" s="9"/>
      <c r="I764" s="9"/>
    </row>
    <row r="765" spans="2:9" x14ac:dyDescent="0.25">
      <c r="B765" s="9"/>
      <c r="C765" s="9"/>
      <c r="D765" s="9"/>
      <c r="E765" s="9"/>
      <c r="F765" s="9"/>
      <c r="G765" s="9"/>
      <c r="H765" s="9"/>
      <c r="I765" s="9"/>
    </row>
    <row r="766" spans="2:9" x14ac:dyDescent="0.25">
      <c r="B766" s="9"/>
      <c r="C766" s="9"/>
      <c r="D766" s="9"/>
      <c r="E766" s="9"/>
      <c r="F766" s="9"/>
      <c r="G766" s="9"/>
      <c r="H766" s="9"/>
      <c r="I766" s="9"/>
    </row>
    <row r="767" spans="2:9" x14ac:dyDescent="0.25">
      <c r="B767" s="9"/>
      <c r="C767" s="9"/>
      <c r="D767" s="9"/>
      <c r="E767" s="9"/>
      <c r="F767" s="9"/>
      <c r="G767" s="9"/>
      <c r="H767" s="9"/>
      <c r="I767" s="9"/>
    </row>
    <row r="768" spans="2:9" x14ac:dyDescent="0.25">
      <c r="B768" s="9"/>
      <c r="C768" s="9"/>
      <c r="D768" s="9"/>
      <c r="E768" s="9"/>
      <c r="F768" s="9"/>
      <c r="G768" s="9"/>
      <c r="H768" s="9"/>
      <c r="I768" s="9"/>
    </row>
    <row r="769" spans="2:9" x14ac:dyDescent="0.25">
      <c r="B769" s="9"/>
      <c r="C769" s="9"/>
      <c r="D769" s="9"/>
      <c r="E769" s="9"/>
      <c r="F769" s="9"/>
      <c r="G769" s="9"/>
      <c r="H769" s="9"/>
      <c r="I769" s="9"/>
    </row>
    <row r="770" spans="2:9" x14ac:dyDescent="0.25">
      <c r="B770" s="9"/>
      <c r="C770" s="9"/>
      <c r="D770" s="9"/>
      <c r="E770" s="9"/>
      <c r="F770" s="9"/>
      <c r="G770" s="9"/>
      <c r="H770" s="9"/>
      <c r="I770" s="9"/>
    </row>
    <row r="771" spans="2:9" x14ac:dyDescent="0.25">
      <c r="B771" s="9"/>
      <c r="C771" s="9"/>
      <c r="D771" s="9"/>
      <c r="E771" s="9"/>
      <c r="F771" s="9"/>
      <c r="G771" s="9"/>
      <c r="H771" s="9"/>
      <c r="I771" s="9"/>
    </row>
    <row r="772" spans="2:9" x14ac:dyDescent="0.25">
      <c r="B772" s="9"/>
      <c r="C772" s="9"/>
      <c r="D772" s="9"/>
      <c r="E772" s="9"/>
      <c r="F772" s="9"/>
      <c r="G772" s="9"/>
      <c r="H772" s="9"/>
      <c r="I772" s="9"/>
    </row>
    <row r="773" spans="2:9" x14ac:dyDescent="0.25">
      <c r="B773" s="9"/>
      <c r="C773" s="9"/>
      <c r="D773" s="9"/>
      <c r="E773" s="9"/>
      <c r="F773" s="9"/>
      <c r="G773" s="9"/>
      <c r="H773" s="9"/>
      <c r="I773" s="9"/>
    </row>
    <row r="774" spans="2:9" x14ac:dyDescent="0.25">
      <c r="B774" s="9"/>
      <c r="C774" s="9"/>
      <c r="D774" s="9"/>
      <c r="E774" s="9"/>
      <c r="F774" s="9"/>
      <c r="G774" s="9"/>
      <c r="H774" s="9"/>
      <c r="I774" s="9"/>
    </row>
    <row r="775" spans="2:9" x14ac:dyDescent="0.25">
      <c r="B775" s="9"/>
      <c r="C775" s="9"/>
      <c r="D775" s="9"/>
      <c r="E775" s="9"/>
      <c r="F775" s="9"/>
      <c r="G775" s="9"/>
      <c r="H775" s="9"/>
      <c r="I775" s="9"/>
    </row>
    <row r="776" spans="2:9" x14ac:dyDescent="0.25">
      <c r="B776" s="9"/>
      <c r="C776" s="9"/>
      <c r="D776" s="9"/>
      <c r="E776" s="9"/>
      <c r="F776" s="9"/>
      <c r="G776" s="9"/>
      <c r="H776" s="9"/>
      <c r="I776" s="9"/>
    </row>
    <row r="777" spans="2:9" x14ac:dyDescent="0.25">
      <c r="B777" s="9"/>
      <c r="C777" s="9"/>
      <c r="D777" s="9"/>
      <c r="E777" s="9"/>
      <c r="F777" s="9"/>
      <c r="G777" s="9"/>
      <c r="H777" s="9"/>
      <c r="I777" s="9"/>
    </row>
    <row r="778" spans="2:9" x14ac:dyDescent="0.25">
      <c r="B778" s="9"/>
      <c r="C778" s="9"/>
      <c r="D778" s="9"/>
      <c r="E778" s="9"/>
      <c r="F778" s="9"/>
      <c r="G778" s="9"/>
      <c r="H778" s="9"/>
      <c r="I778" s="9"/>
    </row>
    <row r="779" spans="2:9" x14ac:dyDescent="0.25">
      <c r="B779" s="9"/>
      <c r="C779" s="9"/>
      <c r="D779" s="9"/>
      <c r="E779" s="9"/>
      <c r="F779" s="9"/>
      <c r="G779" s="9"/>
      <c r="H779" s="9"/>
      <c r="I779" s="9"/>
    </row>
    <row r="780" spans="2:9" x14ac:dyDescent="0.25">
      <c r="B780" s="9"/>
      <c r="C780" s="9"/>
      <c r="D780" s="9"/>
      <c r="E780" s="9"/>
      <c r="F780" s="9"/>
      <c r="G780" s="9"/>
      <c r="H780" s="9"/>
      <c r="I780" s="9"/>
    </row>
    <row r="781" spans="2:9" x14ac:dyDescent="0.25">
      <c r="B781" s="9"/>
      <c r="C781" s="9"/>
      <c r="D781" s="9"/>
      <c r="E781" s="9"/>
      <c r="F781" s="9"/>
      <c r="G781" s="9"/>
      <c r="H781" s="9"/>
      <c r="I781" s="9"/>
    </row>
    <row r="782" spans="2:9" x14ac:dyDescent="0.25">
      <c r="B782" s="9"/>
      <c r="C782" s="9"/>
      <c r="D782" s="9"/>
      <c r="E782" s="9"/>
      <c r="F782" s="9"/>
      <c r="G782" s="9"/>
      <c r="H782" s="9"/>
      <c r="I782" s="9"/>
    </row>
    <row r="783" spans="2:9" x14ac:dyDescent="0.25">
      <c r="B783" s="9"/>
      <c r="C783" s="9"/>
      <c r="D783" s="9"/>
      <c r="E783" s="9"/>
      <c r="F783" s="9"/>
      <c r="G783" s="9"/>
      <c r="H783" s="9"/>
      <c r="I783" s="9"/>
    </row>
    <row r="784" spans="2:9" x14ac:dyDescent="0.25">
      <c r="B784" s="9"/>
      <c r="C784" s="9"/>
      <c r="D784" s="9"/>
      <c r="E784" s="9"/>
      <c r="F784" s="9"/>
      <c r="G784" s="9"/>
      <c r="H784" s="9"/>
      <c r="I784" s="9"/>
    </row>
    <row r="785" spans="2:9" x14ac:dyDescent="0.25">
      <c r="B785" s="9"/>
      <c r="C785" s="9"/>
      <c r="D785" s="9"/>
      <c r="E785" s="9"/>
      <c r="F785" s="9"/>
      <c r="G785" s="9"/>
      <c r="H785" s="9"/>
      <c r="I785" s="9"/>
    </row>
    <row r="786" spans="2:9" x14ac:dyDescent="0.25">
      <c r="B786" s="9"/>
      <c r="C786" s="9"/>
      <c r="D786" s="9"/>
      <c r="E786" s="9"/>
      <c r="F786" s="9"/>
      <c r="G786" s="9"/>
      <c r="H786" s="9"/>
      <c r="I786" s="9"/>
    </row>
    <row r="787" spans="2:9" x14ac:dyDescent="0.25">
      <c r="B787" s="9"/>
      <c r="C787" s="9"/>
      <c r="D787" s="9"/>
      <c r="E787" s="9"/>
      <c r="F787" s="9"/>
      <c r="G787" s="9"/>
      <c r="H787" s="9"/>
      <c r="I787" s="9"/>
    </row>
    <row r="788" spans="2:9" x14ac:dyDescent="0.25">
      <c r="B788" s="9"/>
      <c r="C788" s="9"/>
      <c r="D788" s="9"/>
      <c r="E788" s="9"/>
      <c r="F788" s="9"/>
      <c r="G788" s="9"/>
      <c r="H788" s="9"/>
      <c r="I788" s="9"/>
    </row>
    <row r="789" spans="2:9" x14ac:dyDescent="0.25">
      <c r="B789" s="9"/>
      <c r="C789" s="9"/>
      <c r="D789" s="9"/>
      <c r="E789" s="9"/>
      <c r="F789" s="9"/>
      <c r="G789" s="9"/>
      <c r="H789" s="9"/>
      <c r="I789" s="9"/>
    </row>
    <row r="790" spans="2:9" x14ac:dyDescent="0.25">
      <c r="B790" s="9"/>
      <c r="C790" s="9"/>
      <c r="D790" s="9"/>
      <c r="E790" s="9"/>
      <c r="F790" s="9"/>
      <c r="G790" s="9"/>
      <c r="H790" s="9"/>
      <c r="I790" s="9"/>
    </row>
    <row r="791" spans="2:9" x14ac:dyDescent="0.25">
      <c r="B791" s="9"/>
      <c r="C791" s="9"/>
      <c r="D791" s="9"/>
      <c r="E791" s="9"/>
      <c r="F791" s="9"/>
      <c r="G791" s="9"/>
      <c r="H791" s="9"/>
      <c r="I791" s="9"/>
    </row>
    <row r="792" spans="2:9" x14ac:dyDescent="0.25">
      <c r="B792" s="9"/>
      <c r="C792" s="9"/>
      <c r="D792" s="9"/>
      <c r="E792" s="9"/>
      <c r="F792" s="9"/>
      <c r="G792" s="9"/>
      <c r="H792" s="9"/>
      <c r="I792" s="9"/>
    </row>
    <row r="793" spans="2:9" x14ac:dyDescent="0.25">
      <c r="B793" s="9"/>
      <c r="C793" s="9"/>
      <c r="D793" s="9"/>
      <c r="E793" s="9"/>
      <c r="F793" s="9"/>
      <c r="G793" s="9"/>
      <c r="H793" s="9"/>
      <c r="I793" s="9"/>
    </row>
    <row r="794" spans="2:9" x14ac:dyDescent="0.25">
      <c r="B794" s="9"/>
      <c r="C794" s="9"/>
      <c r="D794" s="9"/>
      <c r="E794" s="9"/>
      <c r="F794" s="9"/>
      <c r="G794" s="9"/>
      <c r="H794" s="9"/>
      <c r="I794" s="9"/>
    </row>
    <row r="795" spans="2:9" x14ac:dyDescent="0.25">
      <c r="B795" s="9"/>
      <c r="C795" s="9"/>
      <c r="D795" s="9"/>
      <c r="E795" s="9"/>
      <c r="F795" s="9"/>
      <c r="G795" s="9"/>
      <c r="H795" s="9"/>
      <c r="I795" s="9"/>
    </row>
    <row r="796" spans="2:9" x14ac:dyDescent="0.25">
      <c r="B796" s="9"/>
      <c r="C796" s="9"/>
      <c r="D796" s="9"/>
      <c r="E796" s="9"/>
      <c r="F796" s="9"/>
      <c r="G796" s="9"/>
      <c r="H796" s="9"/>
      <c r="I796" s="9"/>
    </row>
    <row r="797" spans="2:9" x14ac:dyDescent="0.25">
      <c r="B797" s="9"/>
      <c r="C797" s="9"/>
      <c r="D797" s="9"/>
      <c r="E797" s="9"/>
      <c r="F797" s="9"/>
      <c r="G797" s="9"/>
      <c r="H797" s="9"/>
      <c r="I797" s="9"/>
    </row>
    <row r="798" spans="2:9" x14ac:dyDescent="0.25">
      <c r="B798" s="9"/>
      <c r="C798" s="9"/>
      <c r="D798" s="9"/>
      <c r="E798" s="9"/>
      <c r="F798" s="9"/>
      <c r="G798" s="9"/>
      <c r="H798" s="9"/>
      <c r="I798" s="9"/>
    </row>
    <row r="799" spans="2:9" x14ac:dyDescent="0.25">
      <c r="B799" s="9"/>
      <c r="C799" s="9"/>
      <c r="D799" s="9"/>
      <c r="E799" s="9"/>
      <c r="F799" s="9"/>
      <c r="G799" s="9"/>
      <c r="H799" s="9"/>
      <c r="I799" s="9"/>
    </row>
    <row r="800" spans="2:9" x14ac:dyDescent="0.25">
      <c r="B800" s="9"/>
      <c r="C800" s="9"/>
      <c r="D800" s="9"/>
      <c r="E800" s="9"/>
      <c r="F800" s="9"/>
      <c r="G800" s="9"/>
      <c r="H800" s="9"/>
      <c r="I800" s="9"/>
    </row>
    <row r="801" spans="2:9" x14ac:dyDescent="0.25">
      <c r="B801" s="9"/>
      <c r="C801" s="9"/>
      <c r="D801" s="9"/>
      <c r="E801" s="9"/>
      <c r="F801" s="9"/>
      <c r="G801" s="9"/>
      <c r="H801" s="9"/>
      <c r="I801" s="9"/>
    </row>
    <row r="802" spans="2:9" x14ac:dyDescent="0.25">
      <c r="B802" s="9"/>
      <c r="C802" s="9"/>
      <c r="D802" s="9"/>
      <c r="E802" s="9"/>
      <c r="F802" s="9"/>
      <c r="G802" s="9"/>
      <c r="H802" s="9"/>
      <c r="I802" s="9"/>
    </row>
    <row r="803" spans="2:9" x14ac:dyDescent="0.25">
      <c r="B803" s="9"/>
      <c r="C803" s="9"/>
      <c r="D803" s="9"/>
      <c r="E803" s="9"/>
      <c r="F803" s="9"/>
      <c r="G803" s="9"/>
      <c r="H803" s="9"/>
      <c r="I803" s="9"/>
    </row>
    <row r="804" spans="2:9" x14ac:dyDescent="0.25">
      <c r="B804" s="9"/>
      <c r="C804" s="9"/>
      <c r="D804" s="9"/>
      <c r="E804" s="9"/>
      <c r="F804" s="9"/>
      <c r="G804" s="9"/>
      <c r="H804" s="9"/>
      <c r="I804" s="9"/>
    </row>
    <row r="805" spans="2:9" x14ac:dyDescent="0.25">
      <c r="B805" s="9"/>
      <c r="C805" s="9"/>
      <c r="D805" s="9"/>
      <c r="E805" s="9"/>
      <c r="F805" s="9"/>
      <c r="G805" s="9"/>
      <c r="H805" s="9"/>
      <c r="I805" s="9"/>
    </row>
    <row r="806" spans="2:9" x14ac:dyDescent="0.25">
      <c r="B806" s="9"/>
      <c r="C806" s="9"/>
      <c r="D806" s="9"/>
      <c r="E806" s="9"/>
      <c r="F806" s="9"/>
      <c r="G806" s="9"/>
      <c r="H806" s="9"/>
      <c r="I806" s="9"/>
    </row>
    <row r="807" spans="2:9" x14ac:dyDescent="0.25">
      <c r="B807" s="9"/>
      <c r="C807" s="9"/>
      <c r="D807" s="9"/>
      <c r="E807" s="9"/>
      <c r="F807" s="9"/>
      <c r="G807" s="9"/>
      <c r="H807" s="9"/>
      <c r="I807" s="9"/>
    </row>
    <row r="808" spans="2:9" x14ac:dyDescent="0.25">
      <c r="B808" s="9"/>
      <c r="C808" s="9"/>
      <c r="D808" s="9"/>
      <c r="E808" s="9"/>
      <c r="F808" s="9"/>
      <c r="G808" s="9"/>
      <c r="H808" s="9"/>
      <c r="I808" s="9"/>
    </row>
    <row r="809" spans="2:9" x14ac:dyDescent="0.25">
      <c r="B809" s="9"/>
      <c r="C809" s="9"/>
      <c r="D809" s="9"/>
      <c r="E809" s="9"/>
      <c r="F809" s="9"/>
      <c r="G809" s="9"/>
      <c r="H809" s="9"/>
      <c r="I809" s="9"/>
    </row>
    <row r="810" spans="2:9" x14ac:dyDescent="0.25">
      <c r="B810" s="9"/>
      <c r="C810" s="9"/>
      <c r="D810" s="9"/>
      <c r="E810" s="9"/>
      <c r="F810" s="9"/>
      <c r="G810" s="9"/>
      <c r="H810" s="9"/>
      <c r="I810" s="9"/>
    </row>
    <row r="811" spans="2:9" x14ac:dyDescent="0.25">
      <c r="B811" s="9"/>
      <c r="C811" s="9"/>
      <c r="D811" s="9"/>
      <c r="E811" s="9"/>
      <c r="F811" s="9"/>
      <c r="G811" s="9"/>
      <c r="H811" s="9"/>
      <c r="I811" s="9"/>
    </row>
    <row r="812" spans="2:9" x14ac:dyDescent="0.25">
      <c r="B812" s="9"/>
      <c r="C812" s="9"/>
      <c r="D812" s="9"/>
      <c r="E812" s="9"/>
      <c r="F812" s="9"/>
      <c r="G812" s="9"/>
      <c r="H812" s="9"/>
      <c r="I812" s="9"/>
    </row>
    <row r="813" spans="2:9" x14ac:dyDescent="0.25">
      <c r="B813" s="9"/>
      <c r="C813" s="9"/>
      <c r="D813" s="9"/>
      <c r="E813" s="9"/>
      <c r="F813" s="9"/>
      <c r="G813" s="9"/>
      <c r="H813" s="9"/>
      <c r="I813" s="9"/>
    </row>
    <row r="814" spans="2:9" x14ac:dyDescent="0.25">
      <c r="B814" s="9"/>
      <c r="C814" s="9"/>
      <c r="D814" s="9"/>
      <c r="E814" s="9"/>
      <c r="F814" s="9"/>
      <c r="G814" s="9"/>
      <c r="H814" s="9"/>
      <c r="I814" s="9"/>
    </row>
    <row r="815" spans="2:9" x14ac:dyDescent="0.25">
      <c r="B815" s="9"/>
      <c r="C815" s="9"/>
      <c r="D815" s="9"/>
      <c r="E815" s="9"/>
      <c r="F815" s="9"/>
      <c r="G815" s="9"/>
      <c r="H815" s="9"/>
      <c r="I815" s="9"/>
    </row>
    <row r="816" spans="2:9" x14ac:dyDescent="0.25">
      <c r="B816" s="9"/>
      <c r="C816" s="9"/>
      <c r="D816" s="9"/>
      <c r="E816" s="9"/>
      <c r="F816" s="9"/>
      <c r="G816" s="9"/>
      <c r="H816" s="9"/>
      <c r="I816" s="9"/>
    </row>
    <row r="817" spans="2:9" x14ac:dyDescent="0.25">
      <c r="B817" s="9"/>
      <c r="C817" s="9"/>
      <c r="D817" s="9"/>
      <c r="E817" s="9"/>
      <c r="F817" s="9"/>
      <c r="G817" s="9"/>
      <c r="H817" s="9"/>
      <c r="I817" s="9"/>
    </row>
    <row r="818" spans="2:9" x14ac:dyDescent="0.25">
      <c r="B818" s="9"/>
      <c r="C818" s="9"/>
      <c r="D818" s="9"/>
      <c r="E818" s="9"/>
      <c r="F818" s="9"/>
      <c r="G818" s="9"/>
      <c r="H818" s="9"/>
      <c r="I818" s="9"/>
    </row>
    <row r="819" spans="2:9" x14ac:dyDescent="0.25">
      <c r="B819" s="9"/>
      <c r="C819" s="9"/>
      <c r="D819" s="9"/>
      <c r="E819" s="9"/>
      <c r="F819" s="9"/>
      <c r="G819" s="9"/>
      <c r="H819" s="9"/>
      <c r="I819" s="9"/>
    </row>
    <row r="820" spans="2:9" x14ac:dyDescent="0.25">
      <c r="B820" s="9"/>
      <c r="C820" s="9"/>
      <c r="D820" s="9"/>
      <c r="E820" s="9"/>
      <c r="F820" s="9"/>
      <c r="G820" s="9"/>
      <c r="H820" s="9"/>
      <c r="I820" s="9"/>
    </row>
    <row r="821" spans="2:9" x14ac:dyDescent="0.25">
      <c r="B821" s="9"/>
      <c r="C821" s="9"/>
      <c r="D821" s="9"/>
      <c r="E821" s="9"/>
      <c r="F821" s="9"/>
      <c r="G821" s="9"/>
      <c r="H821" s="9"/>
      <c r="I821" s="9"/>
    </row>
    <row r="822" spans="2:9" x14ac:dyDescent="0.25">
      <c r="B822" s="9"/>
      <c r="C822" s="9"/>
      <c r="D822" s="9"/>
      <c r="E822" s="9"/>
      <c r="F822" s="9"/>
      <c r="G822" s="9"/>
      <c r="H822" s="9"/>
      <c r="I822" s="9"/>
    </row>
    <row r="823" spans="2:9" x14ac:dyDescent="0.25">
      <c r="B823" s="9"/>
      <c r="C823" s="9"/>
      <c r="D823" s="9"/>
      <c r="E823" s="9"/>
      <c r="F823" s="9"/>
      <c r="G823" s="9"/>
      <c r="H823" s="9"/>
      <c r="I823" s="9"/>
    </row>
    <row r="824" spans="2:9" x14ac:dyDescent="0.25">
      <c r="B824" s="9"/>
      <c r="C824" s="9"/>
      <c r="D824" s="9"/>
      <c r="E824" s="9"/>
      <c r="F824" s="9"/>
      <c r="G824" s="9"/>
      <c r="H824" s="9"/>
      <c r="I824" s="9"/>
    </row>
    <row r="825" spans="2:9" x14ac:dyDescent="0.25">
      <c r="B825" s="9"/>
      <c r="C825" s="9"/>
      <c r="D825" s="9"/>
      <c r="E825" s="9"/>
      <c r="F825" s="9"/>
      <c r="G825" s="9"/>
      <c r="H825" s="9"/>
      <c r="I825" s="9"/>
    </row>
    <row r="826" spans="2:9" x14ac:dyDescent="0.25">
      <c r="B826" s="9"/>
      <c r="C826" s="9"/>
      <c r="D826" s="9"/>
      <c r="E826" s="9"/>
      <c r="F826" s="9"/>
      <c r="G826" s="9"/>
      <c r="H826" s="9"/>
      <c r="I826" s="9"/>
    </row>
    <row r="827" spans="2:9" x14ac:dyDescent="0.25">
      <c r="B827" s="9"/>
      <c r="C827" s="9"/>
      <c r="D827" s="9"/>
      <c r="E827" s="9"/>
      <c r="F827" s="9"/>
      <c r="G827" s="9"/>
      <c r="H827" s="9"/>
      <c r="I827" s="9"/>
    </row>
    <row r="828" spans="2:9" x14ac:dyDescent="0.25">
      <c r="B828" s="9"/>
      <c r="C828" s="9"/>
      <c r="D828" s="9"/>
      <c r="E828" s="9"/>
      <c r="F828" s="9"/>
      <c r="G828" s="9"/>
      <c r="H828" s="9"/>
      <c r="I828" s="9"/>
    </row>
    <row r="829" spans="2:9" x14ac:dyDescent="0.25">
      <c r="B829" s="9"/>
      <c r="C829" s="9"/>
      <c r="D829" s="9"/>
      <c r="E829" s="9"/>
      <c r="F829" s="9"/>
      <c r="G829" s="9"/>
      <c r="H829" s="9"/>
      <c r="I829" s="9"/>
    </row>
    <row r="830" spans="2:9" x14ac:dyDescent="0.25">
      <c r="B830" s="9"/>
      <c r="C830" s="9"/>
      <c r="D830" s="9"/>
      <c r="E830" s="9"/>
      <c r="F830" s="9"/>
      <c r="G830" s="9"/>
      <c r="H830" s="9"/>
      <c r="I830" s="9"/>
    </row>
    <row r="831" spans="2:9" x14ac:dyDescent="0.25">
      <c r="B831" s="9"/>
      <c r="C831" s="9"/>
      <c r="D831" s="9"/>
      <c r="E831" s="9"/>
      <c r="F831" s="9"/>
      <c r="G831" s="9"/>
      <c r="H831" s="9"/>
      <c r="I831" s="9"/>
    </row>
    <row r="832" spans="2:9" x14ac:dyDescent="0.25">
      <c r="B832" s="9"/>
      <c r="C832" s="9"/>
      <c r="D832" s="9"/>
      <c r="E832" s="9"/>
      <c r="F832" s="9"/>
      <c r="G832" s="9"/>
      <c r="H832" s="9"/>
      <c r="I832" s="9"/>
    </row>
    <row r="833" spans="2:9" x14ac:dyDescent="0.25">
      <c r="B833" s="9"/>
      <c r="C833" s="9"/>
      <c r="D833" s="9"/>
      <c r="E833" s="9"/>
      <c r="F833" s="9"/>
      <c r="G833" s="9"/>
      <c r="H833" s="9"/>
      <c r="I833" s="9"/>
    </row>
    <row r="834" spans="2:9" x14ac:dyDescent="0.25">
      <c r="B834" s="9"/>
      <c r="C834" s="9"/>
      <c r="D834" s="9"/>
      <c r="E834" s="9"/>
      <c r="F834" s="9"/>
      <c r="G834" s="9"/>
      <c r="H834" s="9"/>
      <c r="I834" s="9"/>
    </row>
    <row r="835" spans="2:9" x14ac:dyDescent="0.25">
      <c r="B835" s="9"/>
      <c r="C835" s="9"/>
      <c r="D835" s="9"/>
      <c r="E835" s="9"/>
      <c r="F835" s="9"/>
      <c r="G835" s="9"/>
      <c r="H835" s="9"/>
      <c r="I835" s="9"/>
    </row>
    <row r="836" spans="2:9" x14ac:dyDescent="0.25">
      <c r="B836" s="9"/>
      <c r="C836" s="9"/>
      <c r="D836" s="9"/>
      <c r="E836" s="9"/>
      <c r="F836" s="9"/>
      <c r="G836" s="9"/>
      <c r="H836" s="9"/>
      <c r="I836" s="9"/>
    </row>
    <row r="837" spans="2:9" x14ac:dyDescent="0.25">
      <c r="B837" s="9"/>
      <c r="C837" s="9"/>
      <c r="D837" s="9"/>
      <c r="E837" s="9"/>
      <c r="F837" s="9"/>
      <c r="G837" s="9"/>
      <c r="H837" s="9"/>
      <c r="I837" s="9"/>
    </row>
    <row r="838" spans="2:9" x14ac:dyDescent="0.25">
      <c r="B838" s="9"/>
      <c r="C838" s="9"/>
      <c r="D838" s="9"/>
      <c r="E838" s="9"/>
      <c r="F838" s="9"/>
      <c r="G838" s="9"/>
      <c r="H838" s="9"/>
      <c r="I838" s="9"/>
    </row>
    <row r="839" spans="2:9" x14ac:dyDescent="0.25">
      <c r="B839" s="9"/>
      <c r="C839" s="9"/>
      <c r="D839" s="9"/>
      <c r="E839" s="9"/>
      <c r="F839" s="9"/>
      <c r="G839" s="9"/>
      <c r="H839" s="9"/>
      <c r="I839" s="9"/>
    </row>
    <row r="840" spans="2:9" x14ac:dyDescent="0.25">
      <c r="B840" s="9"/>
      <c r="C840" s="9"/>
      <c r="D840" s="9"/>
      <c r="E840" s="9"/>
      <c r="F840" s="9"/>
      <c r="G840" s="9"/>
      <c r="H840" s="9"/>
      <c r="I840" s="9"/>
    </row>
    <row r="841" spans="2:9" x14ac:dyDescent="0.25">
      <c r="B841" s="9"/>
      <c r="C841" s="9"/>
      <c r="D841" s="9"/>
      <c r="E841" s="9"/>
      <c r="F841" s="9"/>
      <c r="G841" s="9"/>
      <c r="H841" s="9"/>
      <c r="I841" s="9"/>
    </row>
    <row r="842" spans="2:9" x14ac:dyDescent="0.25">
      <c r="B842" s="9"/>
      <c r="C842" s="9"/>
      <c r="D842" s="9"/>
      <c r="E842" s="9"/>
      <c r="F842" s="9"/>
      <c r="G842" s="9"/>
      <c r="H842" s="9"/>
      <c r="I842" s="9"/>
    </row>
    <row r="843" spans="2:9" x14ac:dyDescent="0.25">
      <c r="B843" s="9"/>
      <c r="C843" s="9"/>
      <c r="D843" s="9"/>
      <c r="E843" s="9"/>
      <c r="F843" s="9"/>
      <c r="G843" s="9"/>
      <c r="H843" s="9"/>
      <c r="I843" s="9"/>
    </row>
    <row r="844" spans="2:9" x14ac:dyDescent="0.25">
      <c r="B844" s="9"/>
      <c r="C844" s="9"/>
      <c r="D844" s="9"/>
      <c r="E844" s="9"/>
      <c r="F844" s="9"/>
      <c r="G844" s="9"/>
      <c r="H844" s="9"/>
      <c r="I844" s="9"/>
    </row>
    <row r="845" spans="2:9" x14ac:dyDescent="0.25">
      <c r="B845" s="9"/>
      <c r="C845" s="9"/>
      <c r="D845" s="9"/>
      <c r="E845" s="9"/>
      <c r="F845" s="9"/>
      <c r="G845" s="9"/>
      <c r="H845" s="9"/>
      <c r="I845" s="9"/>
    </row>
    <row r="846" spans="2:9" x14ac:dyDescent="0.25">
      <c r="B846" s="9"/>
      <c r="C846" s="9"/>
      <c r="D846" s="9"/>
      <c r="E846" s="9"/>
      <c r="F846" s="9"/>
      <c r="G846" s="9"/>
      <c r="H846" s="9"/>
      <c r="I846" s="9"/>
    </row>
    <row r="847" spans="2:9" x14ac:dyDescent="0.25">
      <c r="B847" s="9"/>
      <c r="C847" s="9"/>
      <c r="D847" s="9"/>
      <c r="E847" s="9"/>
      <c r="F847" s="9"/>
      <c r="G847" s="9"/>
      <c r="H847" s="9"/>
      <c r="I847" s="9"/>
    </row>
    <row r="848" spans="2:9" x14ac:dyDescent="0.25">
      <c r="B848" s="9"/>
      <c r="C848" s="9"/>
      <c r="D848" s="9"/>
      <c r="E848" s="9"/>
      <c r="F848" s="9"/>
      <c r="G848" s="9"/>
      <c r="H848" s="9"/>
      <c r="I848" s="9"/>
    </row>
    <row r="849" spans="2:9" x14ac:dyDescent="0.25">
      <c r="B849" s="9"/>
      <c r="C849" s="9"/>
      <c r="D849" s="9"/>
      <c r="E849" s="9"/>
      <c r="F849" s="9"/>
      <c r="G849" s="9"/>
      <c r="H849" s="9"/>
      <c r="I849" s="9"/>
    </row>
    <row r="850" spans="2:9" x14ac:dyDescent="0.25">
      <c r="B850" s="9"/>
      <c r="C850" s="9"/>
      <c r="D850" s="9"/>
      <c r="E850" s="9"/>
      <c r="F850" s="9"/>
      <c r="G850" s="9"/>
      <c r="H850" s="9"/>
      <c r="I850" s="9"/>
    </row>
    <row r="851" spans="2:9" x14ac:dyDescent="0.25">
      <c r="B851" s="9"/>
      <c r="C851" s="9"/>
      <c r="D851" s="9"/>
      <c r="E851" s="9"/>
      <c r="F851" s="9"/>
      <c r="G851" s="9"/>
      <c r="H851" s="9"/>
      <c r="I851" s="9"/>
    </row>
    <row r="852" spans="2:9" x14ac:dyDescent="0.25">
      <c r="B852" s="9"/>
      <c r="C852" s="9"/>
      <c r="D852" s="9"/>
      <c r="E852" s="9"/>
      <c r="F852" s="9"/>
      <c r="G852" s="9"/>
      <c r="H852" s="9"/>
      <c r="I852" s="9"/>
    </row>
    <row r="853" spans="2:9" x14ac:dyDescent="0.25">
      <c r="B853" s="9"/>
      <c r="C853" s="9"/>
      <c r="D853" s="9"/>
      <c r="E853" s="9"/>
      <c r="F853" s="9"/>
      <c r="G853" s="9"/>
      <c r="H853" s="9"/>
      <c r="I853" s="9"/>
    </row>
    <row r="854" spans="2:9" x14ac:dyDescent="0.25">
      <c r="B854" s="9"/>
      <c r="C854" s="9"/>
      <c r="D854" s="9"/>
      <c r="E854" s="9"/>
      <c r="F854" s="9"/>
      <c r="G854" s="9"/>
      <c r="H854" s="9"/>
      <c r="I854" s="9"/>
    </row>
    <row r="855" spans="2:9" x14ac:dyDescent="0.25">
      <c r="B855" s="9"/>
      <c r="C855" s="9"/>
      <c r="D855" s="9"/>
      <c r="E855" s="9"/>
      <c r="F855" s="9"/>
      <c r="G855" s="9"/>
      <c r="H855" s="9"/>
      <c r="I855" s="9"/>
    </row>
    <row r="856" spans="2:9" x14ac:dyDescent="0.25">
      <c r="B856" s="9"/>
      <c r="C856" s="9"/>
      <c r="D856" s="9"/>
      <c r="E856" s="9"/>
      <c r="F856" s="9"/>
      <c r="G856" s="9"/>
      <c r="H856" s="9"/>
      <c r="I856" s="9"/>
    </row>
    <row r="857" spans="2:9" x14ac:dyDescent="0.25">
      <c r="B857" s="9"/>
      <c r="C857" s="9"/>
      <c r="D857" s="9"/>
      <c r="E857" s="9"/>
      <c r="F857" s="9"/>
      <c r="G857" s="9"/>
      <c r="H857" s="9"/>
      <c r="I857" s="9"/>
    </row>
    <row r="858" spans="2:9" x14ac:dyDescent="0.25">
      <c r="B858" s="9"/>
      <c r="C858" s="9"/>
      <c r="D858" s="9"/>
      <c r="E858" s="9"/>
      <c r="F858" s="9"/>
      <c r="G858" s="9"/>
      <c r="H858" s="9"/>
      <c r="I858" s="9"/>
    </row>
    <row r="859" spans="2:9" x14ac:dyDescent="0.25">
      <c r="B859" s="9"/>
      <c r="C859" s="9"/>
      <c r="D859" s="9"/>
      <c r="E859" s="9"/>
      <c r="F859" s="9"/>
      <c r="G859" s="9"/>
      <c r="H859" s="9"/>
      <c r="I859" s="9"/>
    </row>
    <row r="860" spans="2:9" x14ac:dyDescent="0.25">
      <c r="B860" s="9"/>
      <c r="C860" s="9"/>
      <c r="D860" s="9"/>
      <c r="E860" s="9"/>
      <c r="F860" s="9"/>
      <c r="G860" s="9"/>
      <c r="H860" s="9"/>
      <c r="I860" s="9"/>
    </row>
    <row r="861" spans="2:9" x14ac:dyDescent="0.25">
      <c r="B861" s="9"/>
      <c r="C861" s="9"/>
      <c r="D861" s="9"/>
      <c r="E861" s="9"/>
      <c r="F861" s="9"/>
      <c r="G861" s="9"/>
      <c r="H861" s="9"/>
      <c r="I861" s="9"/>
    </row>
    <row r="862" spans="2:9" x14ac:dyDescent="0.25">
      <c r="B862" s="9"/>
      <c r="C862" s="9"/>
      <c r="D862" s="9"/>
      <c r="E862" s="9"/>
      <c r="F862" s="9"/>
      <c r="G862" s="9"/>
      <c r="H862" s="9"/>
      <c r="I862" s="9"/>
    </row>
    <row r="863" spans="2:9" x14ac:dyDescent="0.25">
      <c r="B863" s="9"/>
      <c r="C863" s="9"/>
      <c r="D863" s="9"/>
      <c r="E863" s="9"/>
      <c r="F863" s="9"/>
      <c r="G863" s="9"/>
      <c r="H863" s="9"/>
      <c r="I863" s="9"/>
    </row>
    <row r="864" spans="2:9" x14ac:dyDescent="0.25">
      <c r="B864" s="9"/>
      <c r="C864" s="9"/>
      <c r="D864" s="9"/>
      <c r="E864" s="9"/>
      <c r="F864" s="9"/>
      <c r="G864" s="9"/>
      <c r="H864" s="9"/>
      <c r="I864" s="9"/>
    </row>
    <row r="865" spans="2:9" x14ac:dyDescent="0.25">
      <c r="B865" s="9"/>
      <c r="C865" s="9"/>
      <c r="D865" s="9"/>
      <c r="E865" s="9"/>
      <c r="F865" s="9"/>
      <c r="G865" s="9"/>
      <c r="H865" s="9"/>
      <c r="I865" s="9"/>
    </row>
    <row r="866" spans="2:9" x14ac:dyDescent="0.25">
      <c r="B866" s="9"/>
      <c r="C866" s="9"/>
      <c r="D866" s="9"/>
      <c r="E866" s="9"/>
      <c r="F866" s="9"/>
      <c r="G866" s="9"/>
      <c r="H866" s="9"/>
      <c r="I866" s="9"/>
    </row>
    <row r="867" spans="2:9" x14ac:dyDescent="0.25">
      <c r="B867" s="9"/>
      <c r="C867" s="9"/>
      <c r="D867" s="9"/>
      <c r="E867" s="9"/>
      <c r="F867" s="9"/>
      <c r="G867" s="9"/>
      <c r="H867" s="9"/>
      <c r="I867" s="9"/>
    </row>
    <row r="868" spans="2:9" x14ac:dyDescent="0.25">
      <c r="B868" s="9"/>
      <c r="C868" s="9"/>
      <c r="D868" s="9"/>
      <c r="E868" s="9"/>
      <c r="F868" s="9"/>
      <c r="G868" s="9"/>
      <c r="H868" s="9"/>
      <c r="I868" s="9"/>
    </row>
    <row r="869" spans="2:9" x14ac:dyDescent="0.25">
      <c r="B869" s="9"/>
      <c r="C869" s="9"/>
      <c r="D869" s="9"/>
      <c r="E869" s="9"/>
      <c r="F869" s="9"/>
      <c r="G869" s="9"/>
      <c r="H869" s="9"/>
      <c r="I869" s="9"/>
    </row>
    <row r="870" spans="2:9" x14ac:dyDescent="0.25">
      <c r="B870" s="9"/>
      <c r="C870" s="9"/>
      <c r="D870" s="9"/>
      <c r="E870" s="9"/>
      <c r="F870" s="9"/>
      <c r="G870" s="9"/>
      <c r="H870" s="9"/>
      <c r="I870" s="9"/>
    </row>
    <row r="871" spans="2:9" x14ac:dyDescent="0.25">
      <c r="B871" s="9"/>
      <c r="C871" s="9"/>
      <c r="D871" s="9"/>
      <c r="E871" s="9"/>
      <c r="F871" s="9"/>
      <c r="G871" s="9"/>
      <c r="H871" s="9"/>
      <c r="I871" s="9"/>
    </row>
    <row r="872" spans="2:9" x14ac:dyDescent="0.25">
      <c r="B872" s="9"/>
      <c r="C872" s="9"/>
      <c r="D872" s="9"/>
      <c r="E872" s="9"/>
      <c r="F872" s="9"/>
      <c r="G872" s="9"/>
      <c r="H872" s="9"/>
      <c r="I872" s="9"/>
    </row>
    <row r="873" spans="2:9" x14ac:dyDescent="0.25">
      <c r="B873" s="9"/>
      <c r="C873" s="9"/>
      <c r="D873" s="9"/>
      <c r="E873" s="9"/>
      <c r="F873" s="9"/>
      <c r="G873" s="9"/>
      <c r="H873" s="9"/>
      <c r="I873" s="9"/>
    </row>
    <row r="874" spans="2:9" x14ac:dyDescent="0.25">
      <c r="B874" s="9"/>
      <c r="C874" s="9"/>
      <c r="D874" s="9"/>
      <c r="E874" s="9"/>
      <c r="F874" s="9"/>
      <c r="G874" s="9"/>
      <c r="H874" s="9"/>
      <c r="I874" s="9"/>
    </row>
    <row r="875" spans="2:9" x14ac:dyDescent="0.25">
      <c r="B875" s="9"/>
      <c r="C875" s="9"/>
      <c r="D875" s="9"/>
      <c r="E875" s="9"/>
      <c r="F875" s="9"/>
      <c r="G875" s="9"/>
      <c r="H875" s="9"/>
      <c r="I875" s="9"/>
    </row>
    <row r="876" spans="2:9" x14ac:dyDescent="0.25">
      <c r="B876" s="9"/>
      <c r="C876" s="9"/>
      <c r="D876" s="9"/>
      <c r="E876" s="9"/>
      <c r="F876" s="9"/>
      <c r="G876" s="9"/>
      <c r="H876" s="9"/>
      <c r="I876" s="9"/>
    </row>
    <row r="877" spans="2:9" x14ac:dyDescent="0.25">
      <c r="B877" s="9"/>
      <c r="C877" s="9"/>
      <c r="D877" s="9"/>
      <c r="E877" s="9"/>
      <c r="F877" s="9"/>
      <c r="G877" s="9"/>
      <c r="H877" s="9"/>
      <c r="I877" s="9"/>
    </row>
    <row r="878" spans="2:9" x14ac:dyDescent="0.25">
      <c r="B878" s="9"/>
      <c r="C878" s="9"/>
      <c r="D878" s="9"/>
      <c r="E878" s="9"/>
      <c r="F878" s="9"/>
      <c r="G878" s="9"/>
      <c r="H878" s="9"/>
      <c r="I878" s="9"/>
    </row>
    <row r="879" spans="2:9" x14ac:dyDescent="0.25">
      <c r="B879" s="9"/>
      <c r="C879" s="9"/>
      <c r="D879" s="9"/>
      <c r="E879" s="9"/>
      <c r="F879" s="9"/>
      <c r="G879" s="9"/>
      <c r="H879" s="9"/>
      <c r="I879" s="9"/>
    </row>
    <row r="880" spans="2:9" x14ac:dyDescent="0.25">
      <c r="B880" s="9"/>
      <c r="C880" s="9"/>
      <c r="D880" s="9"/>
      <c r="E880" s="9"/>
      <c r="F880" s="9"/>
      <c r="G880" s="9"/>
      <c r="H880" s="9"/>
      <c r="I880" s="9"/>
    </row>
    <row r="881" spans="2:9" x14ac:dyDescent="0.25">
      <c r="B881" s="9"/>
      <c r="C881" s="9"/>
      <c r="D881" s="9"/>
      <c r="E881" s="9"/>
      <c r="F881" s="9"/>
      <c r="G881" s="9"/>
      <c r="H881" s="9"/>
      <c r="I881" s="9"/>
    </row>
    <row r="882" spans="2:9" x14ac:dyDescent="0.25">
      <c r="B882" s="9"/>
      <c r="C882" s="9"/>
      <c r="D882" s="9"/>
      <c r="E882" s="9"/>
      <c r="F882" s="9"/>
      <c r="G882" s="9"/>
      <c r="H882" s="9"/>
      <c r="I882" s="9"/>
    </row>
    <row r="883" spans="2:9" x14ac:dyDescent="0.25">
      <c r="B883" s="9"/>
      <c r="C883" s="9"/>
      <c r="D883" s="9"/>
      <c r="E883" s="9"/>
      <c r="F883" s="9"/>
      <c r="G883" s="9"/>
      <c r="H883" s="9"/>
      <c r="I883" s="9"/>
    </row>
    <row r="884" spans="2:9" x14ac:dyDescent="0.25">
      <c r="B884" s="9"/>
      <c r="C884" s="9"/>
      <c r="D884" s="9"/>
      <c r="E884" s="9"/>
      <c r="F884" s="9"/>
      <c r="G884" s="9"/>
      <c r="H884" s="9"/>
      <c r="I884" s="9"/>
    </row>
    <row r="885" spans="2:9" x14ac:dyDescent="0.25">
      <c r="B885" s="9"/>
      <c r="C885" s="9"/>
      <c r="D885" s="9"/>
      <c r="E885" s="9"/>
      <c r="F885" s="9"/>
      <c r="G885" s="9"/>
      <c r="H885" s="9"/>
      <c r="I885" s="9"/>
    </row>
    <row r="886" spans="2:9" x14ac:dyDescent="0.25">
      <c r="B886" s="9"/>
      <c r="C886" s="9"/>
      <c r="D886" s="9"/>
      <c r="E886" s="9"/>
      <c r="F886" s="9"/>
      <c r="G886" s="9"/>
      <c r="H886" s="9"/>
      <c r="I886" s="9"/>
    </row>
    <row r="887" spans="2:9" x14ac:dyDescent="0.25">
      <c r="B887" s="9"/>
      <c r="C887" s="9"/>
      <c r="D887" s="9"/>
      <c r="E887" s="9"/>
      <c r="F887" s="9"/>
      <c r="G887" s="9"/>
      <c r="H887" s="9"/>
      <c r="I887" s="9"/>
    </row>
    <row r="888" spans="2:9" x14ac:dyDescent="0.25">
      <c r="B888" s="9"/>
      <c r="C888" s="9"/>
      <c r="D888" s="9"/>
      <c r="E888" s="9"/>
      <c r="F888" s="9"/>
      <c r="G888" s="9"/>
      <c r="H888" s="9"/>
      <c r="I888" s="9"/>
    </row>
    <row r="889" spans="2:9" x14ac:dyDescent="0.25">
      <c r="B889" s="9"/>
      <c r="C889" s="9"/>
      <c r="D889" s="9"/>
      <c r="E889" s="9"/>
      <c r="F889" s="9"/>
      <c r="G889" s="9"/>
      <c r="H889" s="9"/>
      <c r="I889" s="9"/>
    </row>
    <row r="890" spans="2:9" x14ac:dyDescent="0.25">
      <c r="B890" s="9"/>
      <c r="C890" s="9"/>
      <c r="D890" s="9"/>
      <c r="E890" s="9"/>
      <c r="F890" s="9"/>
      <c r="G890" s="9"/>
      <c r="H890" s="9"/>
      <c r="I890" s="9"/>
    </row>
    <row r="891" spans="2:9" x14ac:dyDescent="0.25">
      <c r="B891" s="9"/>
      <c r="C891" s="9"/>
      <c r="D891" s="9"/>
      <c r="E891" s="9"/>
      <c r="F891" s="9"/>
      <c r="G891" s="9"/>
      <c r="H891" s="9"/>
      <c r="I891" s="9"/>
    </row>
    <row r="892" spans="2:9" x14ac:dyDescent="0.25">
      <c r="B892" s="9"/>
      <c r="C892" s="9"/>
      <c r="D892" s="9"/>
      <c r="E892" s="9"/>
      <c r="F892" s="9"/>
      <c r="G892" s="9"/>
      <c r="H892" s="9"/>
      <c r="I892" s="9"/>
    </row>
    <row r="893" spans="2:9" x14ac:dyDescent="0.25">
      <c r="B893" s="9"/>
      <c r="C893" s="9"/>
      <c r="D893" s="9"/>
      <c r="E893" s="9"/>
      <c r="F893" s="9"/>
      <c r="G893" s="9"/>
      <c r="H893" s="9"/>
      <c r="I893" s="9"/>
    </row>
    <row r="894" spans="2:9" x14ac:dyDescent="0.25">
      <c r="B894" s="9"/>
      <c r="C894" s="9"/>
      <c r="D894" s="9"/>
      <c r="E894" s="9"/>
      <c r="F894" s="9"/>
      <c r="G894" s="9"/>
      <c r="H894" s="9"/>
      <c r="I894" s="9"/>
    </row>
    <row r="895" spans="2:9" x14ac:dyDescent="0.25">
      <c r="B895" s="9"/>
      <c r="C895" s="9"/>
      <c r="D895" s="9"/>
      <c r="E895" s="9"/>
      <c r="F895" s="9"/>
      <c r="G895" s="9"/>
      <c r="H895" s="9"/>
      <c r="I895" s="9"/>
    </row>
    <row r="896" spans="2:9" x14ac:dyDescent="0.25">
      <c r="B896" s="9"/>
      <c r="C896" s="9"/>
      <c r="D896" s="9"/>
      <c r="E896" s="9"/>
      <c r="F896" s="9"/>
      <c r="G896" s="9"/>
      <c r="H896" s="9"/>
      <c r="I896" s="9"/>
    </row>
    <row r="897" spans="2:9" x14ac:dyDescent="0.25">
      <c r="B897" s="9"/>
      <c r="C897" s="9"/>
      <c r="D897" s="9"/>
      <c r="E897" s="9"/>
      <c r="F897" s="9"/>
      <c r="G897" s="9"/>
      <c r="H897" s="9"/>
      <c r="I897" s="9"/>
    </row>
    <row r="898" spans="2:9" x14ac:dyDescent="0.25">
      <c r="B898" s="9"/>
      <c r="C898" s="9"/>
      <c r="D898" s="9"/>
      <c r="E898" s="9"/>
      <c r="F898" s="9"/>
      <c r="G898" s="9"/>
      <c r="H898" s="9"/>
      <c r="I898" s="9"/>
    </row>
    <row r="899" spans="2:9" x14ac:dyDescent="0.25">
      <c r="B899" s="9"/>
      <c r="C899" s="9"/>
      <c r="D899" s="9"/>
      <c r="E899" s="9"/>
      <c r="F899" s="9"/>
      <c r="G899" s="9"/>
      <c r="H899" s="9"/>
      <c r="I899" s="9"/>
    </row>
    <row r="900" spans="2:9" x14ac:dyDescent="0.25">
      <c r="B900" s="9"/>
      <c r="C900" s="9"/>
      <c r="D900" s="9"/>
      <c r="E900" s="9"/>
      <c r="F900" s="9"/>
      <c r="G900" s="9"/>
      <c r="H900" s="9"/>
      <c r="I900" s="9"/>
    </row>
    <row r="901" spans="2:9" x14ac:dyDescent="0.25">
      <c r="B901" s="9"/>
      <c r="C901" s="9"/>
      <c r="D901" s="9"/>
      <c r="E901" s="9"/>
      <c r="F901" s="9"/>
      <c r="G901" s="9"/>
      <c r="H901" s="9"/>
      <c r="I901" s="9"/>
    </row>
    <row r="902" spans="2:9" x14ac:dyDescent="0.25">
      <c r="B902" s="9"/>
      <c r="C902" s="9"/>
      <c r="D902" s="9"/>
      <c r="E902" s="9"/>
      <c r="F902" s="9"/>
      <c r="G902" s="9"/>
      <c r="H902" s="9"/>
      <c r="I902" s="9"/>
    </row>
    <row r="903" spans="2:9" x14ac:dyDescent="0.25">
      <c r="B903" s="9"/>
      <c r="C903" s="9"/>
      <c r="D903" s="9"/>
      <c r="E903" s="9"/>
      <c r="F903" s="9"/>
      <c r="G903" s="9"/>
      <c r="H903" s="9"/>
      <c r="I903" s="9"/>
    </row>
    <row r="904" spans="2:9" x14ac:dyDescent="0.25">
      <c r="B904" s="9"/>
      <c r="C904" s="9"/>
      <c r="D904" s="9"/>
      <c r="E904" s="9"/>
      <c r="F904" s="9"/>
      <c r="G904" s="9"/>
      <c r="H904" s="9"/>
      <c r="I904" s="9"/>
    </row>
    <row r="905" spans="2:9" x14ac:dyDescent="0.25">
      <c r="B905" s="9"/>
      <c r="C905" s="9"/>
      <c r="D905" s="9"/>
      <c r="E905" s="9"/>
      <c r="F905" s="9"/>
      <c r="G905" s="9"/>
      <c r="H905" s="9"/>
      <c r="I905" s="9"/>
    </row>
    <row r="906" spans="2:9" x14ac:dyDescent="0.25">
      <c r="B906" s="9"/>
      <c r="C906" s="9"/>
      <c r="D906" s="9"/>
      <c r="E906" s="9"/>
      <c r="F906" s="9"/>
      <c r="G906" s="9"/>
      <c r="H906" s="9"/>
      <c r="I906" s="9"/>
    </row>
    <row r="907" spans="2:9" x14ac:dyDescent="0.25">
      <c r="B907" s="9"/>
      <c r="C907" s="9"/>
      <c r="D907" s="9"/>
      <c r="E907" s="9"/>
      <c r="F907" s="9"/>
      <c r="G907" s="9"/>
      <c r="H907" s="9"/>
      <c r="I907" s="9"/>
    </row>
    <row r="908" spans="2:9" x14ac:dyDescent="0.25">
      <c r="B908" s="9"/>
      <c r="C908" s="9"/>
      <c r="D908" s="9"/>
      <c r="E908" s="9"/>
      <c r="F908" s="9"/>
      <c r="G908" s="9"/>
      <c r="H908" s="9"/>
      <c r="I908" s="9"/>
    </row>
    <row r="909" spans="2:9" x14ac:dyDescent="0.25">
      <c r="B909" s="9"/>
      <c r="C909" s="9"/>
      <c r="D909" s="9"/>
      <c r="E909" s="9"/>
      <c r="F909" s="9"/>
      <c r="G909" s="9"/>
      <c r="H909" s="9"/>
      <c r="I909" s="9"/>
    </row>
    <row r="910" spans="2:9" x14ac:dyDescent="0.25">
      <c r="B910" s="9"/>
      <c r="C910" s="9"/>
      <c r="D910" s="9"/>
      <c r="E910" s="9"/>
      <c r="F910" s="9"/>
      <c r="G910" s="9"/>
      <c r="H910" s="9"/>
      <c r="I910" s="9"/>
    </row>
    <row r="911" spans="2:9" x14ac:dyDescent="0.25">
      <c r="B911" s="9"/>
      <c r="C911" s="9"/>
      <c r="D911" s="9"/>
      <c r="E911" s="9"/>
      <c r="F911" s="9"/>
      <c r="G911" s="9"/>
      <c r="H911" s="9"/>
      <c r="I911" s="9"/>
    </row>
    <row r="912" spans="2:9" x14ac:dyDescent="0.25">
      <c r="B912" s="9"/>
      <c r="C912" s="9"/>
      <c r="D912" s="9"/>
      <c r="E912" s="9"/>
      <c r="F912" s="9"/>
      <c r="G912" s="9"/>
      <c r="H912" s="9"/>
      <c r="I912" s="9"/>
    </row>
    <row r="913" spans="2:9" x14ac:dyDescent="0.25">
      <c r="B913" s="9"/>
      <c r="C913" s="9"/>
      <c r="D913" s="9"/>
      <c r="E913" s="9"/>
      <c r="F913" s="9"/>
      <c r="G913" s="9"/>
      <c r="H913" s="9"/>
      <c r="I913" s="9"/>
    </row>
    <row r="914" spans="2:9" x14ac:dyDescent="0.25">
      <c r="B914" s="9"/>
      <c r="C914" s="9"/>
      <c r="D914" s="9"/>
      <c r="E914" s="9"/>
      <c r="F914" s="9"/>
      <c r="G914" s="9"/>
      <c r="H914" s="9"/>
      <c r="I914" s="9"/>
    </row>
    <row r="915" spans="2:9" x14ac:dyDescent="0.25">
      <c r="B915" s="9"/>
      <c r="C915" s="9"/>
      <c r="D915" s="9"/>
      <c r="E915" s="9"/>
      <c r="F915" s="9"/>
      <c r="G915" s="9"/>
      <c r="H915" s="9"/>
      <c r="I915" s="9"/>
    </row>
    <row r="916" spans="2:9" x14ac:dyDescent="0.25">
      <c r="B916" s="9"/>
      <c r="C916" s="9"/>
      <c r="D916" s="9"/>
      <c r="E916" s="9"/>
      <c r="F916" s="9"/>
      <c r="G916" s="9"/>
      <c r="H916" s="9"/>
      <c r="I916" s="9"/>
    </row>
    <row r="917" spans="2:9" x14ac:dyDescent="0.25">
      <c r="B917" s="9"/>
      <c r="C917" s="9"/>
      <c r="D917" s="9"/>
      <c r="E917" s="9"/>
      <c r="F917" s="9"/>
      <c r="G917" s="9"/>
      <c r="H917" s="9"/>
      <c r="I917" s="9"/>
    </row>
    <row r="918" spans="2:9" x14ac:dyDescent="0.25">
      <c r="B918" s="9"/>
      <c r="C918" s="9"/>
      <c r="D918" s="9"/>
      <c r="E918" s="9"/>
      <c r="F918" s="9"/>
      <c r="G918" s="9"/>
      <c r="H918" s="9"/>
      <c r="I918" s="9"/>
    </row>
    <row r="919" spans="2:9" x14ac:dyDescent="0.25">
      <c r="B919" s="9"/>
      <c r="C919" s="9"/>
      <c r="D919" s="9"/>
      <c r="E919" s="9"/>
      <c r="F919" s="9"/>
      <c r="G919" s="9"/>
      <c r="H919" s="9"/>
      <c r="I919" s="9"/>
    </row>
    <row r="920" spans="2:9" x14ac:dyDescent="0.25">
      <c r="B920" s="9"/>
      <c r="C920" s="9"/>
      <c r="D920" s="9"/>
      <c r="E920" s="9"/>
      <c r="F920" s="9"/>
      <c r="G920" s="9"/>
      <c r="H920" s="9"/>
      <c r="I920" s="9"/>
    </row>
    <row r="921" spans="2:9" x14ac:dyDescent="0.25">
      <c r="B921" s="9"/>
      <c r="C921" s="9"/>
      <c r="D921" s="9"/>
      <c r="E921" s="9"/>
      <c r="F921" s="9"/>
      <c r="G921" s="9"/>
      <c r="H921" s="9"/>
      <c r="I921" s="9"/>
    </row>
    <row r="922" spans="2:9" x14ac:dyDescent="0.25">
      <c r="B922" s="9"/>
      <c r="C922" s="9"/>
      <c r="D922" s="9"/>
      <c r="E922" s="9"/>
      <c r="F922" s="9"/>
      <c r="G922" s="9"/>
      <c r="H922" s="9"/>
      <c r="I922" s="9"/>
    </row>
    <row r="923" spans="2:9" x14ac:dyDescent="0.25">
      <c r="B923" s="9"/>
      <c r="C923" s="9"/>
      <c r="D923" s="9"/>
      <c r="E923" s="9"/>
      <c r="F923" s="9"/>
      <c r="G923" s="9"/>
      <c r="H923" s="9"/>
      <c r="I923" s="9"/>
    </row>
    <row r="924" spans="2:9" x14ac:dyDescent="0.25">
      <c r="B924" s="9"/>
      <c r="C924" s="9"/>
      <c r="D924" s="9"/>
      <c r="E924" s="9"/>
      <c r="F924" s="9"/>
      <c r="G924" s="9"/>
      <c r="H924" s="9"/>
      <c r="I924" s="9"/>
    </row>
    <row r="925" spans="2:9" x14ac:dyDescent="0.25">
      <c r="B925" s="9"/>
      <c r="C925" s="9"/>
      <c r="D925" s="9"/>
      <c r="E925" s="9"/>
      <c r="F925" s="9"/>
      <c r="G925" s="9"/>
      <c r="H925" s="9"/>
      <c r="I925" s="9"/>
    </row>
    <row r="926" spans="2:9" x14ac:dyDescent="0.25">
      <c r="B926" s="9"/>
      <c r="C926" s="9"/>
      <c r="D926" s="9"/>
      <c r="E926" s="9"/>
      <c r="F926" s="9"/>
      <c r="G926" s="9"/>
      <c r="H926" s="9"/>
      <c r="I926" s="9"/>
    </row>
    <row r="927" spans="2:9" x14ac:dyDescent="0.25">
      <c r="B927" s="9"/>
      <c r="C927" s="9"/>
      <c r="D927" s="9"/>
      <c r="E927" s="9"/>
      <c r="F927" s="9"/>
      <c r="G927" s="9"/>
      <c r="H927" s="9"/>
      <c r="I927" s="9"/>
    </row>
    <row r="928" spans="2:9" x14ac:dyDescent="0.25">
      <c r="B928" s="9"/>
      <c r="C928" s="9"/>
      <c r="D928" s="9"/>
      <c r="E928" s="9"/>
      <c r="F928" s="9"/>
      <c r="G928" s="9"/>
      <c r="H928" s="9"/>
      <c r="I928" s="9"/>
    </row>
    <row r="929" spans="2:9" x14ac:dyDescent="0.25">
      <c r="B929" s="9"/>
      <c r="C929" s="9"/>
      <c r="D929" s="9"/>
      <c r="E929" s="9"/>
      <c r="F929" s="9"/>
      <c r="G929" s="9"/>
      <c r="H929" s="9"/>
      <c r="I929" s="9"/>
    </row>
    <row r="930" spans="2:9" x14ac:dyDescent="0.25">
      <c r="B930" s="9"/>
      <c r="C930" s="9"/>
      <c r="D930" s="9"/>
      <c r="E930" s="9"/>
      <c r="F930" s="9"/>
      <c r="G930" s="9"/>
      <c r="H930" s="9"/>
      <c r="I930" s="9"/>
    </row>
    <row r="931" spans="2:9" x14ac:dyDescent="0.25">
      <c r="B931" s="9"/>
      <c r="C931" s="9"/>
      <c r="D931" s="9"/>
      <c r="E931" s="9"/>
      <c r="F931" s="9"/>
      <c r="G931" s="9"/>
      <c r="H931" s="9"/>
      <c r="I931" s="9"/>
    </row>
    <row r="932" spans="2:9" x14ac:dyDescent="0.25">
      <c r="B932" s="9"/>
      <c r="C932" s="9"/>
      <c r="D932" s="9"/>
      <c r="E932" s="9"/>
      <c r="F932" s="9"/>
      <c r="G932" s="9"/>
      <c r="H932" s="9"/>
      <c r="I932" s="9"/>
    </row>
    <row r="933" spans="2:9" x14ac:dyDescent="0.25">
      <c r="B933" s="9"/>
      <c r="C933" s="9"/>
      <c r="D933" s="9"/>
      <c r="E933" s="9"/>
      <c r="F933" s="9"/>
      <c r="G933" s="9"/>
      <c r="H933" s="9"/>
      <c r="I933" s="9"/>
    </row>
    <row r="934" spans="2:9" x14ac:dyDescent="0.25">
      <c r="B934" s="9"/>
      <c r="C934" s="9"/>
      <c r="D934" s="9"/>
      <c r="E934" s="9"/>
      <c r="F934" s="9"/>
      <c r="G934" s="9"/>
      <c r="H934" s="9"/>
      <c r="I934" s="9"/>
    </row>
    <row r="935" spans="2:9" x14ac:dyDescent="0.25">
      <c r="B935" s="9"/>
      <c r="C935" s="9"/>
      <c r="D935" s="9"/>
      <c r="E935" s="9"/>
      <c r="F935" s="9"/>
      <c r="G935" s="9"/>
      <c r="H935" s="9"/>
      <c r="I935" s="9"/>
    </row>
    <row r="936" spans="2:9" x14ac:dyDescent="0.25">
      <c r="B936" s="9"/>
      <c r="C936" s="9"/>
      <c r="D936" s="9"/>
      <c r="E936" s="9"/>
      <c r="F936" s="9"/>
      <c r="G936" s="9"/>
      <c r="H936" s="9"/>
      <c r="I936" s="9"/>
    </row>
    <row r="937" spans="2:9" x14ac:dyDescent="0.25">
      <c r="B937" s="9"/>
      <c r="C937" s="9"/>
      <c r="D937" s="9"/>
      <c r="E937" s="9"/>
      <c r="F937" s="9"/>
      <c r="G937" s="9"/>
      <c r="H937" s="9"/>
      <c r="I937" s="9"/>
    </row>
    <row r="938" spans="2:9" x14ac:dyDescent="0.25">
      <c r="B938" s="9"/>
      <c r="C938" s="9"/>
      <c r="D938" s="9"/>
      <c r="E938" s="9"/>
      <c r="F938" s="9"/>
      <c r="G938" s="9"/>
      <c r="H938" s="9"/>
      <c r="I938" s="9"/>
    </row>
    <row r="939" spans="2:9" x14ac:dyDescent="0.25">
      <c r="B939" s="9"/>
      <c r="C939" s="9"/>
      <c r="D939" s="9"/>
      <c r="E939" s="9"/>
      <c r="F939" s="9"/>
      <c r="G939" s="9"/>
      <c r="H939" s="9"/>
      <c r="I939" s="9"/>
    </row>
    <row r="940" spans="2:9" x14ac:dyDescent="0.25">
      <c r="B940" s="9"/>
      <c r="C940" s="9"/>
      <c r="D940" s="9"/>
      <c r="E940" s="9"/>
      <c r="F940" s="9"/>
      <c r="G940" s="9"/>
      <c r="H940" s="9"/>
      <c r="I940" s="9"/>
    </row>
    <row r="941" spans="2:9" x14ac:dyDescent="0.25">
      <c r="B941" s="9"/>
      <c r="C941" s="9"/>
      <c r="D941" s="9"/>
      <c r="E941" s="9"/>
      <c r="F941" s="9"/>
      <c r="G941" s="9"/>
      <c r="H941" s="9"/>
      <c r="I941" s="9"/>
    </row>
    <row r="942" spans="2:9" x14ac:dyDescent="0.25">
      <c r="B942" s="9"/>
      <c r="C942" s="9"/>
      <c r="D942" s="9"/>
      <c r="E942" s="9"/>
      <c r="F942" s="9"/>
      <c r="G942" s="9"/>
      <c r="H942" s="9"/>
      <c r="I942" s="9"/>
    </row>
    <row r="943" spans="2:9" x14ac:dyDescent="0.25">
      <c r="B943" s="9"/>
      <c r="C943" s="9"/>
      <c r="D943" s="9"/>
      <c r="E943" s="9"/>
      <c r="F943" s="9"/>
      <c r="G943" s="9"/>
      <c r="H943" s="9"/>
      <c r="I943" s="9"/>
    </row>
    <row r="944" spans="2:9" x14ac:dyDescent="0.25">
      <c r="B944" s="9"/>
      <c r="C944" s="9"/>
      <c r="D944" s="9"/>
      <c r="E944" s="9"/>
      <c r="F944" s="9"/>
      <c r="G944" s="9"/>
      <c r="H944" s="9"/>
      <c r="I944" s="9"/>
    </row>
    <row r="945" spans="2:9" x14ac:dyDescent="0.25">
      <c r="B945" s="9"/>
      <c r="C945" s="9"/>
      <c r="D945" s="9"/>
      <c r="E945" s="9"/>
      <c r="F945" s="9"/>
      <c r="G945" s="9"/>
      <c r="H945" s="9"/>
      <c r="I945" s="9"/>
    </row>
    <row r="946" spans="2:9" x14ac:dyDescent="0.25">
      <c r="B946" s="9"/>
      <c r="C946" s="9"/>
      <c r="D946" s="9"/>
      <c r="E946" s="9"/>
      <c r="F946" s="9"/>
      <c r="G946" s="9"/>
      <c r="H946" s="9"/>
      <c r="I946" s="9"/>
    </row>
    <row r="947" spans="2:9" x14ac:dyDescent="0.25">
      <c r="B947" s="9"/>
      <c r="C947" s="9"/>
      <c r="D947" s="9"/>
      <c r="E947" s="9"/>
      <c r="F947" s="9"/>
      <c r="G947" s="9"/>
      <c r="H947" s="9"/>
      <c r="I947" s="9"/>
    </row>
    <row r="948" spans="2:9" x14ac:dyDescent="0.25">
      <c r="B948" s="9"/>
      <c r="C948" s="9"/>
      <c r="D948" s="9"/>
      <c r="E948" s="9"/>
      <c r="F948" s="9"/>
      <c r="G948" s="9"/>
      <c r="H948" s="9"/>
      <c r="I948" s="9"/>
    </row>
    <row r="949" spans="2:9" x14ac:dyDescent="0.25">
      <c r="B949" s="9"/>
      <c r="C949" s="9"/>
      <c r="D949" s="9"/>
      <c r="E949" s="9"/>
      <c r="F949" s="9"/>
      <c r="G949" s="9"/>
      <c r="H949" s="9"/>
      <c r="I949" s="9"/>
    </row>
    <row r="950" spans="2:9" x14ac:dyDescent="0.25">
      <c r="B950" s="9"/>
      <c r="C950" s="9"/>
      <c r="D950" s="9"/>
      <c r="E950" s="9"/>
      <c r="F950" s="9"/>
      <c r="G950" s="9"/>
      <c r="H950" s="9"/>
      <c r="I950" s="9"/>
    </row>
    <row r="951" spans="2:9" x14ac:dyDescent="0.25">
      <c r="B951" s="9"/>
      <c r="C951" s="9"/>
      <c r="D951" s="9"/>
      <c r="E951" s="9"/>
      <c r="F951" s="9"/>
      <c r="G951" s="9"/>
      <c r="H951" s="9"/>
      <c r="I951" s="9"/>
    </row>
    <row r="952" spans="2:9" x14ac:dyDescent="0.25">
      <c r="B952" s="9"/>
      <c r="C952" s="9"/>
      <c r="D952" s="9"/>
      <c r="E952" s="9"/>
      <c r="F952" s="9"/>
      <c r="G952" s="9"/>
      <c r="H952" s="9"/>
      <c r="I952" s="9"/>
    </row>
    <row r="953" spans="2:9" x14ac:dyDescent="0.25">
      <c r="B953" s="9"/>
      <c r="C953" s="9"/>
      <c r="D953" s="9"/>
      <c r="E953" s="9"/>
      <c r="F953" s="9"/>
      <c r="G953" s="9"/>
      <c r="H953" s="9"/>
      <c r="I953" s="9"/>
    </row>
    <row r="954" spans="2:9" x14ac:dyDescent="0.25">
      <c r="B954" s="9"/>
      <c r="C954" s="9"/>
      <c r="D954" s="9"/>
      <c r="E954" s="9"/>
      <c r="F954" s="9"/>
      <c r="G954" s="9"/>
      <c r="H954" s="9"/>
      <c r="I954" s="9"/>
    </row>
    <row r="955" spans="2:9" x14ac:dyDescent="0.25">
      <c r="B955" s="9"/>
      <c r="C955" s="9"/>
      <c r="D955" s="9"/>
      <c r="E955" s="9"/>
      <c r="F955" s="9"/>
      <c r="G955" s="9"/>
      <c r="H955" s="9"/>
      <c r="I955" s="9"/>
    </row>
    <row r="956" spans="2:9" x14ac:dyDescent="0.25">
      <c r="B956" s="9"/>
      <c r="C956" s="9"/>
      <c r="D956" s="9"/>
      <c r="E956" s="9"/>
      <c r="F956" s="9"/>
      <c r="G956" s="9"/>
      <c r="H956" s="9"/>
      <c r="I956" s="9"/>
    </row>
    <row r="957" spans="2:9" x14ac:dyDescent="0.25">
      <c r="B957" s="9"/>
      <c r="C957" s="9"/>
      <c r="D957" s="9"/>
      <c r="E957" s="9"/>
      <c r="F957" s="9"/>
      <c r="G957" s="9"/>
      <c r="H957" s="9"/>
      <c r="I957" s="9"/>
    </row>
    <row r="958" spans="2:9" x14ac:dyDescent="0.25">
      <c r="B958" s="9"/>
      <c r="C958" s="9"/>
      <c r="D958" s="9"/>
      <c r="E958" s="9"/>
      <c r="F958" s="9"/>
      <c r="G958" s="9"/>
      <c r="H958" s="9"/>
      <c r="I958" s="9"/>
    </row>
    <row r="959" spans="2:9" x14ac:dyDescent="0.25">
      <c r="B959" s="9"/>
      <c r="C959" s="9"/>
      <c r="D959" s="9"/>
      <c r="E959" s="9"/>
      <c r="F959" s="9"/>
      <c r="G959" s="9"/>
      <c r="H959" s="9"/>
      <c r="I959" s="9"/>
    </row>
    <row r="960" spans="2:9" x14ac:dyDescent="0.25">
      <c r="B960" s="9"/>
      <c r="C960" s="9"/>
      <c r="D960" s="9"/>
      <c r="E960" s="9"/>
      <c r="F960" s="9"/>
      <c r="G960" s="9"/>
      <c r="H960" s="9"/>
      <c r="I960" s="9"/>
    </row>
    <row r="961" spans="2:9" x14ac:dyDescent="0.25">
      <c r="B961" s="9"/>
      <c r="C961" s="9"/>
      <c r="D961" s="9"/>
      <c r="E961" s="9"/>
      <c r="F961" s="9"/>
      <c r="G961" s="9"/>
      <c r="H961" s="9"/>
      <c r="I961" s="9"/>
    </row>
    <row r="962" spans="2:9" x14ac:dyDescent="0.25">
      <c r="B962" s="9"/>
      <c r="C962" s="9"/>
      <c r="D962" s="9"/>
      <c r="E962" s="9"/>
      <c r="F962" s="9"/>
      <c r="G962" s="9"/>
      <c r="H962" s="9"/>
      <c r="I962" s="9"/>
    </row>
    <row r="963" spans="2:9" x14ac:dyDescent="0.25">
      <c r="B963" s="9"/>
      <c r="C963" s="9"/>
      <c r="D963" s="9"/>
      <c r="E963" s="9"/>
      <c r="F963" s="9"/>
      <c r="G963" s="9"/>
      <c r="H963" s="9"/>
      <c r="I963" s="9"/>
    </row>
    <row r="964" spans="2:9" x14ac:dyDescent="0.25">
      <c r="B964" s="9"/>
      <c r="C964" s="9"/>
      <c r="D964" s="9"/>
      <c r="E964" s="9"/>
      <c r="F964" s="9"/>
      <c r="G964" s="9"/>
      <c r="H964" s="9"/>
      <c r="I964" s="9"/>
    </row>
    <row r="965" spans="2:9" x14ac:dyDescent="0.25">
      <c r="B965" s="9"/>
      <c r="C965" s="9"/>
      <c r="D965" s="9"/>
      <c r="E965" s="9"/>
      <c r="F965" s="9"/>
      <c r="G965" s="9"/>
      <c r="H965" s="9"/>
      <c r="I965" s="9"/>
    </row>
    <row r="966" spans="2:9" x14ac:dyDescent="0.25">
      <c r="B966" s="9"/>
      <c r="C966" s="9"/>
      <c r="D966" s="9"/>
      <c r="E966" s="9"/>
      <c r="F966" s="9"/>
      <c r="G966" s="9"/>
      <c r="H966" s="9"/>
      <c r="I966" s="9"/>
    </row>
    <row r="967" spans="2:9" x14ac:dyDescent="0.25">
      <c r="B967" s="9"/>
      <c r="C967" s="9"/>
      <c r="D967" s="9"/>
      <c r="E967" s="9"/>
      <c r="F967" s="9"/>
      <c r="G967" s="9"/>
      <c r="H967" s="9"/>
      <c r="I967" s="9"/>
    </row>
    <row r="968" spans="2:9" x14ac:dyDescent="0.25">
      <c r="B968" s="9"/>
      <c r="C968" s="9"/>
      <c r="D968" s="9"/>
      <c r="E968" s="9"/>
      <c r="F968" s="9"/>
      <c r="G968" s="9"/>
      <c r="H968" s="9"/>
      <c r="I968" s="9"/>
    </row>
    <row r="969" spans="2:9" x14ac:dyDescent="0.25">
      <c r="B969" s="9"/>
      <c r="C969" s="9"/>
      <c r="D969" s="9"/>
      <c r="E969" s="9"/>
      <c r="F969" s="9"/>
      <c r="G969" s="9"/>
      <c r="H969" s="9"/>
      <c r="I969" s="9"/>
    </row>
    <row r="970" spans="2:9" x14ac:dyDescent="0.25">
      <c r="B970" s="9"/>
      <c r="C970" s="9"/>
      <c r="D970" s="9"/>
      <c r="E970" s="9"/>
      <c r="F970" s="9"/>
      <c r="G970" s="9"/>
      <c r="H970" s="9"/>
      <c r="I970" s="9"/>
    </row>
    <row r="971" spans="2:9" x14ac:dyDescent="0.25">
      <c r="B971" s="9"/>
      <c r="C971" s="9"/>
      <c r="D971" s="9"/>
      <c r="E971" s="9"/>
      <c r="F971" s="9"/>
      <c r="G971" s="9"/>
      <c r="H971" s="9"/>
      <c r="I971" s="9"/>
    </row>
    <row r="972" spans="2:9" x14ac:dyDescent="0.25">
      <c r="B972" s="9"/>
      <c r="C972" s="9"/>
      <c r="D972" s="9"/>
      <c r="E972" s="9"/>
      <c r="F972" s="9"/>
      <c r="G972" s="9"/>
      <c r="H972" s="9"/>
      <c r="I972" s="9"/>
    </row>
    <row r="973" spans="2:9" x14ac:dyDescent="0.25">
      <c r="B973" s="9"/>
      <c r="C973" s="9"/>
      <c r="D973" s="9"/>
      <c r="E973" s="9"/>
      <c r="F973" s="9"/>
      <c r="G973" s="9"/>
      <c r="H973" s="9"/>
      <c r="I973" s="9"/>
    </row>
    <row r="974" spans="2:9" x14ac:dyDescent="0.25">
      <c r="B974" s="9"/>
      <c r="C974" s="9"/>
      <c r="D974" s="9"/>
      <c r="E974" s="9"/>
      <c r="F974" s="9"/>
      <c r="G974" s="9"/>
      <c r="H974" s="9"/>
      <c r="I974" s="9"/>
    </row>
    <row r="975" spans="2:9" x14ac:dyDescent="0.25">
      <c r="B975" s="9"/>
      <c r="C975" s="9"/>
      <c r="D975" s="9"/>
      <c r="E975" s="9"/>
      <c r="F975" s="9"/>
      <c r="G975" s="9"/>
      <c r="H975" s="9"/>
      <c r="I975" s="9"/>
    </row>
    <row r="976" spans="2:9" x14ac:dyDescent="0.25">
      <c r="B976" s="9"/>
      <c r="C976" s="9"/>
      <c r="D976" s="9"/>
      <c r="E976" s="9"/>
      <c r="F976" s="9"/>
      <c r="G976" s="9"/>
      <c r="H976" s="9"/>
      <c r="I976" s="9"/>
    </row>
    <row r="977" spans="2:9" x14ac:dyDescent="0.25">
      <c r="B977" s="9"/>
      <c r="C977" s="9"/>
      <c r="D977" s="9"/>
      <c r="E977" s="9"/>
      <c r="F977" s="9"/>
      <c r="G977" s="9"/>
      <c r="H977" s="9"/>
      <c r="I977" s="9"/>
    </row>
    <row r="978" spans="2:9" x14ac:dyDescent="0.25">
      <c r="B978" s="9"/>
      <c r="C978" s="9"/>
      <c r="D978" s="9"/>
      <c r="E978" s="9"/>
      <c r="F978" s="9"/>
      <c r="G978" s="9"/>
      <c r="H978" s="9"/>
      <c r="I978" s="9"/>
    </row>
    <row r="979" spans="2:9" x14ac:dyDescent="0.25">
      <c r="B979" s="9"/>
      <c r="C979" s="9"/>
      <c r="D979" s="9"/>
      <c r="E979" s="9"/>
      <c r="F979" s="9"/>
      <c r="G979" s="9"/>
      <c r="H979" s="9"/>
      <c r="I979" s="9"/>
    </row>
    <row r="980" spans="2:9" x14ac:dyDescent="0.25">
      <c r="B980" s="9"/>
      <c r="C980" s="9"/>
      <c r="D980" s="9"/>
      <c r="E980" s="9"/>
      <c r="F980" s="9"/>
      <c r="G980" s="9"/>
      <c r="H980" s="9"/>
      <c r="I980" s="9"/>
    </row>
    <row r="981" spans="2:9" x14ac:dyDescent="0.25">
      <c r="B981" s="9"/>
      <c r="C981" s="9"/>
      <c r="D981" s="9"/>
      <c r="E981" s="9"/>
      <c r="F981" s="9"/>
      <c r="G981" s="9"/>
      <c r="H981" s="9"/>
      <c r="I981" s="9"/>
    </row>
    <row r="982" spans="2:9" x14ac:dyDescent="0.25">
      <c r="B982" s="9"/>
      <c r="C982" s="9"/>
      <c r="D982" s="9"/>
      <c r="E982" s="9"/>
      <c r="F982" s="9"/>
      <c r="G982" s="9"/>
      <c r="H982" s="9"/>
      <c r="I982" s="9"/>
    </row>
    <row r="983" spans="2:9" x14ac:dyDescent="0.25">
      <c r="B983" s="9"/>
      <c r="C983" s="9"/>
      <c r="D983" s="9"/>
      <c r="E983" s="9"/>
      <c r="F983" s="9"/>
      <c r="G983" s="9"/>
      <c r="H983" s="9"/>
      <c r="I983" s="9"/>
    </row>
    <row r="984" spans="2:9" x14ac:dyDescent="0.25">
      <c r="B984" s="9"/>
      <c r="C984" s="9"/>
      <c r="D984" s="9"/>
      <c r="E984" s="9"/>
      <c r="F984" s="9"/>
      <c r="G984" s="9"/>
      <c r="H984" s="9"/>
      <c r="I984" s="9"/>
    </row>
    <row r="985" spans="2:9" x14ac:dyDescent="0.25">
      <c r="B985" s="9"/>
      <c r="C985" s="9"/>
      <c r="D985" s="9"/>
      <c r="E985" s="9"/>
      <c r="F985" s="9"/>
      <c r="G985" s="9"/>
      <c r="H985" s="9"/>
      <c r="I985" s="9"/>
    </row>
    <row r="986" spans="2:9" x14ac:dyDescent="0.25">
      <c r="B986" s="9"/>
      <c r="C986" s="9"/>
      <c r="D986" s="9"/>
      <c r="E986" s="9"/>
      <c r="F986" s="9"/>
      <c r="G986" s="9"/>
      <c r="H986" s="9"/>
      <c r="I986" s="9"/>
    </row>
    <row r="987" spans="2:9" x14ac:dyDescent="0.25">
      <c r="B987" s="9"/>
      <c r="C987" s="9"/>
      <c r="D987" s="9"/>
      <c r="E987" s="9"/>
      <c r="F987" s="9"/>
      <c r="G987" s="9"/>
      <c r="H987" s="9"/>
      <c r="I987" s="9"/>
    </row>
    <row r="988" spans="2:9" x14ac:dyDescent="0.25">
      <c r="B988" s="9"/>
      <c r="C988" s="9"/>
      <c r="D988" s="9"/>
      <c r="E988" s="9"/>
      <c r="F988" s="9"/>
      <c r="G988" s="9"/>
      <c r="H988" s="9"/>
      <c r="I988" s="9"/>
    </row>
    <row r="989" spans="2:9" x14ac:dyDescent="0.25">
      <c r="B989" s="9"/>
      <c r="C989" s="9"/>
      <c r="D989" s="9"/>
      <c r="E989" s="9"/>
      <c r="F989" s="9"/>
      <c r="G989" s="9"/>
      <c r="H989" s="9"/>
      <c r="I989" s="9"/>
    </row>
    <row r="990" spans="2:9" x14ac:dyDescent="0.25">
      <c r="B990" s="9"/>
      <c r="C990" s="9"/>
      <c r="D990" s="9"/>
      <c r="E990" s="9"/>
      <c r="F990" s="9"/>
      <c r="G990" s="9"/>
      <c r="H990" s="9"/>
      <c r="I990" s="9"/>
    </row>
    <row r="991" spans="2:9" x14ac:dyDescent="0.25">
      <c r="B991" s="9"/>
      <c r="C991" s="9"/>
      <c r="D991" s="9"/>
      <c r="E991" s="9"/>
      <c r="F991" s="9"/>
      <c r="G991" s="9"/>
      <c r="H991" s="9"/>
      <c r="I991" s="9"/>
    </row>
    <row r="992" spans="2:9" x14ac:dyDescent="0.25">
      <c r="B992" s="9"/>
      <c r="C992" s="9"/>
      <c r="D992" s="9"/>
      <c r="E992" s="9"/>
      <c r="F992" s="9"/>
      <c r="G992" s="9"/>
      <c r="H992" s="9"/>
      <c r="I992" s="9"/>
    </row>
    <row r="993" spans="2:9" x14ac:dyDescent="0.25">
      <c r="B993" s="9"/>
      <c r="C993" s="9"/>
      <c r="D993" s="9"/>
      <c r="E993" s="9"/>
      <c r="F993" s="9"/>
      <c r="G993" s="9"/>
      <c r="H993" s="9"/>
      <c r="I993" s="9"/>
    </row>
    <row r="994" spans="2:9" x14ac:dyDescent="0.25">
      <c r="B994" s="9"/>
      <c r="C994" s="9"/>
      <c r="D994" s="9"/>
      <c r="E994" s="9"/>
      <c r="F994" s="9"/>
      <c r="G994" s="9"/>
      <c r="H994" s="9"/>
      <c r="I994" s="9"/>
    </row>
    <row r="995" spans="2:9" x14ac:dyDescent="0.25">
      <c r="B995" s="9"/>
      <c r="C995" s="9"/>
      <c r="D995" s="9"/>
      <c r="E995" s="9"/>
      <c r="F995" s="9"/>
      <c r="G995" s="9"/>
      <c r="H995" s="9"/>
      <c r="I995" s="9"/>
    </row>
    <row r="996" spans="2:9" x14ac:dyDescent="0.25">
      <c r="B996" s="9"/>
      <c r="C996" s="9"/>
      <c r="D996" s="9"/>
      <c r="E996" s="9"/>
      <c r="F996" s="9"/>
      <c r="G996" s="9"/>
      <c r="H996" s="9"/>
      <c r="I996" s="9"/>
    </row>
    <row r="997" spans="2:9" x14ac:dyDescent="0.25">
      <c r="B997" s="9"/>
      <c r="C997" s="9"/>
      <c r="D997" s="9"/>
      <c r="E997" s="9"/>
      <c r="F997" s="9"/>
      <c r="G997" s="9"/>
      <c r="H997" s="9"/>
      <c r="I997" s="9"/>
    </row>
    <row r="998" spans="2:9" x14ac:dyDescent="0.25">
      <c r="B998" s="9"/>
      <c r="C998" s="9"/>
      <c r="D998" s="9"/>
      <c r="E998" s="9"/>
      <c r="F998" s="9"/>
      <c r="G998" s="9"/>
      <c r="H998" s="9"/>
      <c r="I998" s="9"/>
    </row>
    <row r="999" spans="2:9" x14ac:dyDescent="0.25">
      <c r="B999" s="9"/>
      <c r="C999" s="9"/>
      <c r="D999" s="9"/>
      <c r="E999" s="9"/>
      <c r="F999" s="9"/>
      <c r="G999" s="9"/>
      <c r="H999" s="9"/>
      <c r="I999" s="9"/>
    </row>
    <row r="1000" spans="2:9" x14ac:dyDescent="0.25">
      <c r="B1000" s="9"/>
      <c r="C1000" s="9"/>
      <c r="D1000" s="9"/>
      <c r="E1000" s="9"/>
      <c r="F1000" s="9"/>
      <c r="G1000" s="9"/>
      <c r="H1000" s="9"/>
      <c r="I1000" s="9"/>
    </row>
    <row r="1001" spans="2:9" x14ac:dyDescent="0.25">
      <c r="B1001" s="9"/>
      <c r="C1001" s="9"/>
      <c r="D1001" s="9"/>
      <c r="E1001" s="9"/>
      <c r="F1001" s="9"/>
      <c r="G1001" s="9"/>
      <c r="H1001" s="9"/>
      <c r="I1001" s="9"/>
    </row>
    <row r="1002" spans="2:9" x14ac:dyDescent="0.25">
      <c r="B1002" s="9"/>
      <c r="C1002" s="9"/>
      <c r="D1002" s="9"/>
      <c r="E1002" s="9"/>
      <c r="F1002" s="9"/>
      <c r="G1002" s="9"/>
      <c r="H1002" s="9"/>
      <c r="I1002" s="9"/>
    </row>
    <row r="1003" spans="2:9" x14ac:dyDescent="0.25">
      <c r="B1003" s="9"/>
      <c r="C1003" s="9"/>
      <c r="D1003" s="9"/>
      <c r="E1003" s="9"/>
      <c r="F1003" s="9"/>
      <c r="G1003" s="9"/>
      <c r="H1003" s="9"/>
      <c r="I1003" s="9"/>
    </row>
    <row r="1004" spans="2:9" x14ac:dyDescent="0.25">
      <c r="B1004" s="9"/>
      <c r="C1004" s="9"/>
      <c r="D1004" s="9"/>
      <c r="E1004" s="9"/>
      <c r="F1004" s="9"/>
      <c r="G1004" s="9"/>
      <c r="H1004" s="9"/>
      <c r="I1004" s="9"/>
    </row>
    <row r="1005" spans="2:9" x14ac:dyDescent="0.25">
      <c r="B1005" s="9"/>
      <c r="C1005" s="9"/>
      <c r="D1005" s="9"/>
      <c r="E1005" s="9"/>
      <c r="F1005" s="9"/>
      <c r="G1005" s="9"/>
      <c r="H1005" s="9"/>
      <c r="I1005" s="9"/>
    </row>
    <row r="1006" spans="2:9" x14ac:dyDescent="0.25">
      <c r="B1006" s="9"/>
      <c r="C1006" s="9"/>
      <c r="D1006" s="9"/>
      <c r="E1006" s="9"/>
      <c r="F1006" s="9"/>
      <c r="G1006" s="9"/>
      <c r="H1006" s="9"/>
      <c r="I1006" s="9"/>
    </row>
    <row r="1007" spans="2:9" x14ac:dyDescent="0.25">
      <c r="B1007" s="9"/>
      <c r="C1007" s="9"/>
      <c r="D1007" s="9"/>
      <c r="E1007" s="9"/>
      <c r="F1007" s="9"/>
      <c r="G1007" s="9"/>
      <c r="H1007" s="9"/>
      <c r="I1007" s="9"/>
    </row>
    <row r="1008" spans="2:9" x14ac:dyDescent="0.25">
      <c r="B1008" s="9"/>
      <c r="C1008" s="9"/>
      <c r="D1008" s="9"/>
      <c r="E1008" s="9"/>
      <c r="F1008" s="9"/>
      <c r="G1008" s="9"/>
      <c r="H1008" s="9"/>
      <c r="I1008" s="9"/>
    </row>
    <row r="1009" spans="2:9" x14ac:dyDescent="0.25">
      <c r="B1009" s="9"/>
      <c r="C1009" s="9"/>
      <c r="D1009" s="9"/>
      <c r="E1009" s="9"/>
      <c r="F1009" s="9"/>
      <c r="G1009" s="9"/>
      <c r="H1009" s="9"/>
      <c r="I1009" s="9"/>
    </row>
    <row r="1010" spans="2:9" x14ac:dyDescent="0.25">
      <c r="B1010" s="9"/>
      <c r="C1010" s="9"/>
      <c r="D1010" s="9"/>
      <c r="E1010" s="9"/>
      <c r="F1010" s="9"/>
      <c r="G1010" s="9"/>
      <c r="H1010" s="9"/>
      <c r="I1010" s="9"/>
    </row>
    <row r="1011" spans="2:9" x14ac:dyDescent="0.25">
      <c r="B1011" s="9"/>
      <c r="C1011" s="9"/>
      <c r="D1011" s="9"/>
      <c r="E1011" s="9"/>
      <c r="F1011" s="9"/>
      <c r="G1011" s="9"/>
      <c r="H1011" s="9"/>
      <c r="I1011" s="9"/>
    </row>
    <row r="1012" spans="2:9" x14ac:dyDescent="0.25">
      <c r="B1012" s="9"/>
      <c r="C1012" s="9"/>
      <c r="D1012" s="9"/>
      <c r="E1012" s="9"/>
      <c r="F1012" s="9"/>
      <c r="G1012" s="9"/>
      <c r="H1012" s="9"/>
      <c r="I1012" s="9"/>
    </row>
    <row r="1013" spans="2:9" x14ac:dyDescent="0.25">
      <c r="B1013" s="9"/>
      <c r="C1013" s="9"/>
      <c r="D1013" s="9"/>
      <c r="E1013" s="9"/>
      <c r="F1013" s="9"/>
      <c r="G1013" s="9"/>
      <c r="H1013" s="9"/>
      <c r="I1013" s="9"/>
    </row>
    <row r="1014" spans="2:9" x14ac:dyDescent="0.25">
      <c r="B1014" s="9"/>
      <c r="C1014" s="9"/>
      <c r="D1014" s="9"/>
      <c r="E1014" s="9"/>
      <c r="F1014" s="9"/>
      <c r="G1014" s="9"/>
      <c r="H1014" s="9"/>
      <c r="I1014" s="9"/>
    </row>
    <row r="1015" spans="2:9" x14ac:dyDescent="0.25">
      <c r="B1015" s="9"/>
      <c r="C1015" s="9"/>
      <c r="D1015" s="9"/>
      <c r="E1015" s="9"/>
      <c r="F1015" s="9"/>
      <c r="G1015" s="9"/>
      <c r="H1015" s="9"/>
      <c r="I1015" s="9"/>
    </row>
    <row r="1016" spans="2:9" x14ac:dyDescent="0.25">
      <c r="B1016" s="9"/>
      <c r="C1016" s="9"/>
      <c r="D1016" s="9"/>
      <c r="E1016" s="9"/>
      <c r="F1016" s="9"/>
      <c r="G1016" s="9"/>
      <c r="H1016" s="9"/>
      <c r="I1016" s="9"/>
    </row>
    <row r="1017" spans="2:9" x14ac:dyDescent="0.25">
      <c r="B1017" s="9"/>
      <c r="C1017" s="9"/>
      <c r="D1017" s="9"/>
      <c r="E1017" s="9"/>
      <c r="F1017" s="9"/>
      <c r="G1017" s="9"/>
      <c r="H1017" s="9"/>
      <c r="I1017" s="9"/>
    </row>
    <row r="1018" spans="2:9" x14ac:dyDescent="0.25">
      <c r="B1018" s="9"/>
      <c r="C1018" s="9"/>
      <c r="D1018" s="9"/>
      <c r="E1018" s="9"/>
      <c r="F1018" s="9"/>
      <c r="G1018" s="9"/>
      <c r="H1018" s="9"/>
      <c r="I1018" s="9"/>
    </row>
    <row r="1019" spans="2:9" x14ac:dyDescent="0.25">
      <c r="B1019" s="9"/>
      <c r="C1019" s="9"/>
      <c r="D1019" s="9"/>
      <c r="E1019" s="9"/>
      <c r="F1019" s="9"/>
      <c r="G1019" s="9"/>
      <c r="H1019" s="9"/>
      <c r="I1019" s="9"/>
    </row>
    <row r="1020" spans="2:9" x14ac:dyDescent="0.25">
      <c r="B1020" s="9"/>
      <c r="C1020" s="9"/>
      <c r="D1020" s="9"/>
      <c r="E1020" s="9"/>
      <c r="F1020" s="9"/>
      <c r="G1020" s="9"/>
      <c r="H1020" s="9"/>
      <c r="I1020" s="9"/>
    </row>
    <row r="1021" spans="2:9" x14ac:dyDescent="0.25">
      <c r="B1021" s="9"/>
      <c r="C1021" s="9"/>
      <c r="D1021" s="9"/>
      <c r="E1021" s="9"/>
      <c r="F1021" s="9"/>
      <c r="G1021" s="9"/>
      <c r="H1021" s="9"/>
      <c r="I1021" s="9"/>
    </row>
    <row r="1022" spans="2:9" x14ac:dyDescent="0.25">
      <c r="B1022" s="9"/>
      <c r="C1022" s="9"/>
      <c r="D1022" s="9"/>
      <c r="E1022" s="9"/>
      <c r="F1022" s="9"/>
      <c r="G1022" s="9"/>
      <c r="H1022" s="9"/>
      <c r="I1022" s="9"/>
    </row>
    <row r="1023" spans="2:9" x14ac:dyDescent="0.25">
      <c r="B1023" s="9"/>
      <c r="C1023" s="9"/>
      <c r="D1023" s="9"/>
      <c r="E1023" s="9"/>
      <c r="F1023" s="9"/>
      <c r="G1023" s="9"/>
      <c r="H1023" s="9"/>
      <c r="I1023" s="9"/>
    </row>
    <row r="1024" spans="2:9" x14ac:dyDescent="0.25">
      <c r="B1024" s="9"/>
      <c r="C1024" s="9"/>
      <c r="D1024" s="9"/>
      <c r="E1024" s="9"/>
      <c r="F1024" s="9"/>
      <c r="G1024" s="9"/>
      <c r="H1024" s="9"/>
      <c r="I1024" s="9"/>
    </row>
    <row r="1025" spans="2:9" x14ac:dyDescent="0.25">
      <c r="B1025" s="9"/>
      <c r="C1025" s="9"/>
      <c r="D1025" s="9"/>
      <c r="E1025" s="9"/>
      <c r="F1025" s="9"/>
      <c r="G1025" s="9"/>
      <c r="H1025" s="9"/>
      <c r="I1025" s="9"/>
    </row>
    <row r="1026" spans="2:9" x14ac:dyDescent="0.25">
      <c r="B1026" s="9"/>
      <c r="C1026" s="9"/>
      <c r="D1026" s="9"/>
      <c r="E1026" s="9"/>
      <c r="F1026" s="9"/>
      <c r="G1026" s="9"/>
      <c r="H1026" s="9"/>
      <c r="I1026" s="9"/>
    </row>
    <row r="1027" spans="2:9" x14ac:dyDescent="0.25">
      <c r="B1027" s="9"/>
      <c r="C1027" s="9"/>
      <c r="D1027" s="9"/>
      <c r="E1027" s="9"/>
      <c r="F1027" s="9"/>
      <c r="G1027" s="9"/>
      <c r="H1027" s="9"/>
      <c r="I1027" s="9"/>
    </row>
    <row r="1028" spans="2:9" x14ac:dyDescent="0.25">
      <c r="B1028" s="9"/>
      <c r="C1028" s="9"/>
      <c r="D1028" s="9"/>
      <c r="E1028" s="9"/>
      <c r="F1028" s="9"/>
      <c r="G1028" s="9"/>
      <c r="H1028" s="9"/>
      <c r="I1028" s="9"/>
    </row>
    <row r="1029" spans="2:9" x14ac:dyDescent="0.25">
      <c r="B1029" s="9"/>
      <c r="C1029" s="9"/>
      <c r="D1029" s="9"/>
      <c r="E1029" s="9"/>
      <c r="F1029" s="9"/>
      <c r="G1029" s="9"/>
      <c r="H1029" s="9"/>
      <c r="I1029" s="9"/>
    </row>
    <row r="1030" spans="2:9" x14ac:dyDescent="0.25">
      <c r="B1030" s="9"/>
      <c r="C1030" s="9"/>
      <c r="D1030" s="9"/>
      <c r="E1030" s="9"/>
      <c r="F1030" s="9"/>
      <c r="G1030" s="9"/>
      <c r="H1030" s="9"/>
      <c r="I1030" s="9"/>
    </row>
    <row r="1031" spans="2:9" x14ac:dyDescent="0.25">
      <c r="B1031" s="9"/>
      <c r="C1031" s="9"/>
      <c r="D1031" s="9"/>
      <c r="E1031" s="9"/>
      <c r="F1031" s="9"/>
      <c r="G1031" s="9"/>
      <c r="H1031" s="9"/>
      <c r="I1031" s="9"/>
    </row>
    <row r="1032" spans="2:9" x14ac:dyDescent="0.25">
      <c r="B1032" s="9"/>
      <c r="C1032" s="9"/>
      <c r="D1032" s="9"/>
      <c r="E1032" s="9"/>
      <c r="F1032" s="9"/>
      <c r="G1032" s="9"/>
      <c r="H1032" s="9"/>
      <c r="I1032" s="9"/>
    </row>
    <row r="1033" spans="2:9" x14ac:dyDescent="0.25">
      <c r="B1033" s="9"/>
      <c r="C1033" s="9"/>
      <c r="D1033" s="9"/>
      <c r="E1033" s="9"/>
      <c r="F1033" s="9"/>
      <c r="G1033" s="9"/>
      <c r="H1033" s="9"/>
      <c r="I1033" s="9"/>
    </row>
    <row r="1034" spans="2:9" x14ac:dyDescent="0.25">
      <c r="B1034" s="9"/>
      <c r="C1034" s="9"/>
      <c r="D1034" s="9"/>
      <c r="E1034" s="9"/>
      <c r="F1034" s="9"/>
      <c r="G1034" s="9"/>
      <c r="H1034" s="9"/>
      <c r="I1034" s="9"/>
    </row>
    <row r="1035" spans="2:9" x14ac:dyDescent="0.25">
      <c r="B1035" s="9"/>
      <c r="C1035" s="9"/>
      <c r="D1035" s="9"/>
      <c r="E1035" s="9"/>
      <c r="F1035" s="9"/>
      <c r="G1035" s="9"/>
      <c r="H1035" s="9"/>
      <c r="I1035" s="9"/>
    </row>
    <row r="1036" spans="2:9" x14ac:dyDescent="0.25">
      <c r="B1036" s="9"/>
      <c r="C1036" s="9"/>
      <c r="D1036" s="9"/>
      <c r="E1036" s="9"/>
      <c r="F1036" s="9"/>
      <c r="G1036" s="9"/>
      <c r="H1036" s="9"/>
      <c r="I1036" s="9"/>
    </row>
    <row r="1037" spans="2:9" x14ac:dyDescent="0.25">
      <c r="B1037" s="9"/>
      <c r="C1037" s="9"/>
      <c r="D1037" s="9"/>
      <c r="E1037" s="9"/>
      <c r="F1037" s="9"/>
      <c r="G1037" s="9"/>
      <c r="H1037" s="9"/>
      <c r="I1037" s="9"/>
    </row>
    <row r="1038" spans="2:9" x14ac:dyDescent="0.25">
      <c r="B1038" s="9"/>
      <c r="C1038" s="9"/>
      <c r="D1038" s="9"/>
      <c r="E1038" s="9"/>
      <c r="F1038" s="9"/>
      <c r="G1038" s="9"/>
      <c r="H1038" s="9"/>
      <c r="I1038" s="9"/>
    </row>
    <row r="1039" spans="2:9" x14ac:dyDescent="0.25">
      <c r="B1039" s="9"/>
      <c r="C1039" s="9"/>
      <c r="D1039" s="9"/>
      <c r="E1039" s="9"/>
      <c r="F1039" s="9"/>
      <c r="G1039" s="9"/>
      <c r="H1039" s="9"/>
      <c r="I1039" s="9"/>
    </row>
    <row r="1040" spans="2:9" x14ac:dyDescent="0.25">
      <c r="B1040" s="9"/>
      <c r="C1040" s="9"/>
      <c r="D1040" s="9"/>
      <c r="E1040" s="9"/>
      <c r="F1040" s="9"/>
      <c r="G1040" s="9"/>
      <c r="H1040" s="9"/>
      <c r="I1040" s="9"/>
    </row>
    <row r="1041" spans="2:9" x14ac:dyDescent="0.25">
      <c r="B1041" s="9"/>
      <c r="C1041" s="9"/>
      <c r="D1041" s="9"/>
      <c r="E1041" s="9"/>
      <c r="F1041" s="9"/>
      <c r="G1041" s="9"/>
      <c r="H1041" s="9"/>
      <c r="I1041" s="9"/>
    </row>
    <row r="1042" spans="2:9" x14ac:dyDescent="0.25">
      <c r="B1042" s="9"/>
      <c r="C1042" s="9"/>
      <c r="D1042" s="9"/>
      <c r="E1042" s="9"/>
      <c r="F1042" s="9"/>
      <c r="G1042" s="9"/>
      <c r="H1042" s="9"/>
      <c r="I1042" s="9"/>
    </row>
    <row r="1043" spans="2:9" x14ac:dyDescent="0.25">
      <c r="B1043" s="9"/>
      <c r="C1043" s="9"/>
      <c r="D1043" s="9"/>
      <c r="E1043" s="9"/>
      <c r="F1043" s="9"/>
      <c r="G1043" s="9"/>
      <c r="H1043" s="9"/>
      <c r="I1043" s="9"/>
    </row>
    <row r="1044" spans="2:9" x14ac:dyDescent="0.25">
      <c r="B1044" s="9"/>
      <c r="C1044" s="9"/>
      <c r="D1044" s="9"/>
      <c r="E1044" s="9"/>
      <c r="F1044" s="9"/>
      <c r="G1044" s="9"/>
      <c r="H1044" s="9"/>
      <c r="I1044" s="9"/>
    </row>
    <row r="1045" spans="2:9" x14ac:dyDescent="0.25">
      <c r="B1045" s="9"/>
      <c r="C1045" s="9"/>
      <c r="D1045" s="9"/>
      <c r="E1045" s="9"/>
      <c r="F1045" s="9"/>
      <c r="G1045" s="9"/>
      <c r="H1045" s="9"/>
      <c r="I1045" s="9"/>
    </row>
    <row r="1046" spans="2:9" x14ac:dyDescent="0.25">
      <c r="B1046" s="9"/>
      <c r="C1046" s="9"/>
      <c r="D1046" s="9"/>
      <c r="E1046" s="9"/>
      <c r="F1046" s="9"/>
      <c r="G1046" s="9"/>
      <c r="H1046" s="9"/>
      <c r="I1046" s="9"/>
    </row>
    <row r="1047" spans="2:9" x14ac:dyDescent="0.25">
      <c r="B1047" s="9"/>
      <c r="C1047" s="9"/>
      <c r="D1047" s="9"/>
      <c r="E1047" s="9"/>
      <c r="F1047" s="9"/>
      <c r="G1047" s="9"/>
      <c r="H1047" s="9"/>
      <c r="I1047" s="9"/>
    </row>
    <row r="1048" spans="2:9" x14ac:dyDescent="0.25">
      <c r="B1048" s="9"/>
      <c r="C1048" s="9"/>
      <c r="D1048" s="9"/>
      <c r="E1048" s="9"/>
      <c r="F1048" s="9"/>
      <c r="G1048" s="9"/>
      <c r="H1048" s="9"/>
      <c r="I1048" s="9"/>
    </row>
    <row r="1049" spans="2:9" x14ac:dyDescent="0.25">
      <c r="B1049" s="9"/>
      <c r="C1049" s="9"/>
      <c r="D1049" s="9"/>
      <c r="E1049" s="9"/>
      <c r="F1049" s="9"/>
      <c r="G1049" s="9"/>
      <c r="H1049" s="9"/>
      <c r="I1049" s="9"/>
    </row>
    <row r="1050" spans="2:9" x14ac:dyDescent="0.25">
      <c r="B1050" s="9"/>
      <c r="C1050" s="9"/>
      <c r="D1050" s="9"/>
      <c r="E1050" s="9"/>
      <c r="F1050" s="9"/>
      <c r="G1050" s="9"/>
      <c r="H1050" s="9"/>
      <c r="I1050" s="9"/>
    </row>
    <row r="1051" spans="2:9" x14ac:dyDescent="0.25">
      <c r="B1051" s="9"/>
      <c r="C1051" s="9"/>
      <c r="D1051" s="9"/>
      <c r="E1051" s="9"/>
      <c r="F1051" s="9"/>
      <c r="G1051" s="9"/>
      <c r="H1051" s="9"/>
      <c r="I1051" s="9"/>
    </row>
    <row r="1052" spans="2:9" x14ac:dyDescent="0.25">
      <c r="B1052" s="9"/>
      <c r="C1052" s="9"/>
      <c r="D1052" s="9"/>
      <c r="E1052" s="9"/>
      <c r="F1052" s="9"/>
      <c r="G1052" s="9"/>
      <c r="H1052" s="9"/>
      <c r="I1052" s="9"/>
    </row>
    <row r="1053" spans="2:9" x14ac:dyDescent="0.25">
      <c r="B1053" s="9"/>
      <c r="C1053" s="9"/>
      <c r="D1053" s="9"/>
      <c r="E1053" s="9"/>
      <c r="F1053" s="9"/>
      <c r="G1053" s="9"/>
      <c r="H1053" s="9"/>
      <c r="I1053" s="9"/>
    </row>
    <row r="1054" spans="2:9" x14ac:dyDescent="0.25">
      <c r="B1054" s="9"/>
      <c r="C1054" s="9"/>
      <c r="D1054" s="9"/>
      <c r="E1054" s="9"/>
      <c r="F1054" s="9"/>
      <c r="G1054" s="9"/>
      <c r="H1054" s="9"/>
      <c r="I1054" s="9"/>
    </row>
    <row r="1055" spans="2:9" x14ac:dyDescent="0.25">
      <c r="B1055" s="9"/>
      <c r="C1055" s="9"/>
      <c r="D1055" s="9"/>
      <c r="E1055" s="9"/>
      <c r="F1055" s="9"/>
      <c r="G1055" s="9"/>
      <c r="H1055" s="9"/>
      <c r="I1055" s="9"/>
    </row>
    <row r="1056" spans="2:9" x14ac:dyDescent="0.25">
      <c r="B1056" s="9"/>
      <c r="C1056" s="9"/>
      <c r="D1056" s="9"/>
      <c r="E1056" s="9"/>
      <c r="F1056" s="9"/>
      <c r="G1056" s="9"/>
      <c r="H1056" s="9"/>
      <c r="I1056" s="9"/>
    </row>
    <row r="1057" spans="2:9" x14ac:dyDescent="0.25">
      <c r="B1057" s="9"/>
      <c r="C1057" s="9"/>
      <c r="D1057" s="9"/>
      <c r="E1057" s="9"/>
      <c r="F1057" s="9"/>
      <c r="G1057" s="9"/>
      <c r="H1057" s="9"/>
      <c r="I1057" s="9"/>
    </row>
    <row r="1058" spans="2:9" x14ac:dyDescent="0.25">
      <c r="B1058" s="9"/>
      <c r="C1058" s="9"/>
      <c r="D1058" s="9"/>
      <c r="E1058" s="9"/>
      <c r="F1058" s="9"/>
      <c r="G1058" s="9"/>
      <c r="H1058" s="9"/>
      <c r="I1058" s="9"/>
    </row>
    <row r="1059" spans="2:9" x14ac:dyDescent="0.25">
      <c r="B1059" s="9"/>
      <c r="C1059" s="9"/>
      <c r="D1059" s="9"/>
      <c r="E1059" s="9"/>
      <c r="F1059" s="9"/>
      <c r="G1059" s="9"/>
      <c r="H1059" s="9"/>
      <c r="I1059" s="9"/>
    </row>
    <row r="1060" spans="2:9" x14ac:dyDescent="0.25">
      <c r="B1060" s="9"/>
      <c r="C1060" s="9"/>
      <c r="D1060" s="9"/>
      <c r="E1060" s="9"/>
      <c r="F1060" s="9"/>
      <c r="G1060" s="9"/>
      <c r="H1060" s="9"/>
      <c r="I1060" s="9"/>
    </row>
    <row r="1061" spans="2:9" x14ac:dyDescent="0.25">
      <c r="B1061" s="9"/>
      <c r="C1061" s="9"/>
      <c r="D1061" s="9"/>
      <c r="E1061" s="9"/>
      <c r="F1061" s="9"/>
      <c r="G1061" s="9"/>
      <c r="H1061" s="9"/>
      <c r="I1061" s="9"/>
    </row>
    <row r="1062" spans="2:9" x14ac:dyDescent="0.25">
      <c r="B1062" s="9"/>
      <c r="C1062" s="9"/>
      <c r="D1062" s="9"/>
      <c r="E1062" s="9"/>
      <c r="F1062" s="9"/>
      <c r="G1062" s="9"/>
      <c r="H1062" s="9"/>
      <c r="I1062" s="9"/>
    </row>
    <row r="1063" spans="2:9" x14ac:dyDescent="0.25">
      <c r="B1063" s="9"/>
      <c r="C1063" s="9"/>
      <c r="D1063" s="9"/>
      <c r="E1063" s="9"/>
      <c r="F1063" s="9"/>
      <c r="G1063" s="9"/>
      <c r="H1063" s="9"/>
      <c r="I1063" s="9"/>
    </row>
    <row r="1064" spans="2:9" x14ac:dyDescent="0.25">
      <c r="B1064" s="9"/>
      <c r="C1064" s="9"/>
      <c r="D1064" s="9"/>
      <c r="E1064" s="9"/>
      <c r="F1064" s="9"/>
      <c r="G1064" s="9"/>
      <c r="H1064" s="9"/>
      <c r="I1064" s="9"/>
    </row>
    <row r="1065" spans="2:9" x14ac:dyDescent="0.25">
      <c r="B1065" s="9"/>
      <c r="C1065" s="9"/>
      <c r="D1065" s="9"/>
      <c r="E1065" s="9"/>
      <c r="F1065" s="9"/>
      <c r="G1065" s="9"/>
      <c r="H1065" s="9"/>
      <c r="I1065" s="9"/>
    </row>
    <row r="1066" spans="2:9" x14ac:dyDescent="0.25">
      <c r="B1066" s="9"/>
      <c r="C1066" s="9"/>
      <c r="D1066" s="9"/>
      <c r="E1066" s="9"/>
      <c r="F1066" s="9"/>
      <c r="G1066" s="9"/>
      <c r="H1066" s="9"/>
      <c r="I1066" s="9"/>
    </row>
    <row r="1067" spans="2:9" x14ac:dyDescent="0.25">
      <c r="B1067" s="9"/>
      <c r="C1067" s="9"/>
      <c r="D1067" s="9"/>
      <c r="E1067" s="9"/>
      <c r="F1067" s="9"/>
      <c r="G1067" s="9"/>
      <c r="H1067" s="9"/>
      <c r="I1067" s="9"/>
    </row>
    <row r="1068" spans="2:9" x14ac:dyDescent="0.25">
      <c r="B1068" s="9"/>
      <c r="C1068" s="9"/>
      <c r="D1068" s="9"/>
      <c r="E1068" s="9"/>
      <c r="F1068" s="9"/>
      <c r="G1068" s="9"/>
      <c r="H1068" s="9"/>
      <c r="I1068" s="9"/>
    </row>
    <row r="1069" spans="2:9" x14ac:dyDescent="0.25">
      <c r="B1069" s="9"/>
      <c r="C1069" s="9"/>
      <c r="D1069" s="9"/>
      <c r="E1069" s="9"/>
      <c r="F1069" s="9"/>
      <c r="G1069" s="9"/>
      <c r="H1069" s="9"/>
      <c r="I1069" s="9"/>
    </row>
    <row r="1070" spans="2:9" x14ac:dyDescent="0.25">
      <c r="B1070" s="9"/>
      <c r="C1070" s="9"/>
      <c r="D1070" s="9"/>
      <c r="E1070" s="9"/>
      <c r="F1070" s="9"/>
      <c r="G1070" s="9"/>
      <c r="H1070" s="9"/>
      <c r="I1070" s="9"/>
    </row>
    <row r="1071" spans="2:9" x14ac:dyDescent="0.25">
      <c r="B1071" s="9"/>
      <c r="C1071" s="9"/>
      <c r="D1071" s="9"/>
      <c r="E1071" s="9"/>
      <c r="F1071" s="9"/>
      <c r="G1071" s="9"/>
      <c r="H1071" s="9"/>
      <c r="I1071" s="9"/>
    </row>
    <row r="1072" spans="2:9" x14ac:dyDescent="0.25">
      <c r="B1072" s="9"/>
      <c r="C1072" s="9"/>
      <c r="D1072" s="9"/>
      <c r="E1072" s="9"/>
      <c r="F1072" s="9"/>
      <c r="G1072" s="9"/>
      <c r="H1072" s="9"/>
      <c r="I1072" s="9"/>
    </row>
    <row r="1073" spans="2:9" x14ac:dyDescent="0.25">
      <c r="B1073" s="9"/>
      <c r="C1073" s="9"/>
      <c r="D1073" s="9"/>
      <c r="E1073" s="9"/>
      <c r="F1073" s="9"/>
      <c r="G1073" s="9"/>
      <c r="H1073" s="9"/>
      <c r="I1073" s="9"/>
    </row>
    <row r="1074" spans="2:9" x14ac:dyDescent="0.25">
      <c r="B1074" s="9"/>
      <c r="C1074" s="9"/>
      <c r="D1074" s="9"/>
      <c r="E1074" s="9"/>
      <c r="F1074" s="9"/>
      <c r="G1074" s="9"/>
      <c r="H1074" s="9"/>
      <c r="I1074" s="9"/>
    </row>
    <row r="1075" spans="2:9" x14ac:dyDescent="0.25">
      <c r="B1075" s="9"/>
      <c r="C1075" s="9"/>
      <c r="D1075" s="9"/>
      <c r="E1075" s="9"/>
      <c r="F1075" s="9"/>
      <c r="G1075" s="9"/>
      <c r="H1075" s="9"/>
      <c r="I1075" s="9"/>
    </row>
    <row r="1076" spans="2:9" x14ac:dyDescent="0.25">
      <c r="B1076" s="9"/>
      <c r="C1076" s="9"/>
      <c r="D1076" s="9"/>
      <c r="E1076" s="9"/>
      <c r="F1076" s="9"/>
      <c r="G1076" s="9"/>
      <c r="H1076" s="9"/>
      <c r="I1076" s="9"/>
    </row>
    <row r="1077" spans="2:9" x14ac:dyDescent="0.25">
      <c r="B1077" s="9"/>
      <c r="C1077" s="9"/>
      <c r="D1077" s="9"/>
      <c r="E1077" s="9"/>
      <c r="F1077" s="9"/>
      <c r="G1077" s="9"/>
      <c r="H1077" s="9"/>
      <c r="I1077" s="9"/>
    </row>
    <row r="1078" spans="2:9" x14ac:dyDescent="0.25">
      <c r="B1078" s="9"/>
      <c r="C1078" s="9"/>
      <c r="D1078" s="9"/>
      <c r="E1078" s="9"/>
      <c r="F1078" s="9"/>
      <c r="G1078" s="9"/>
      <c r="H1078" s="9"/>
      <c r="I1078" s="9"/>
    </row>
    <row r="1079" spans="2:9" x14ac:dyDescent="0.25">
      <c r="B1079" s="9"/>
      <c r="C1079" s="9"/>
      <c r="D1079" s="9"/>
      <c r="E1079" s="9"/>
      <c r="F1079" s="9"/>
      <c r="G1079" s="9"/>
      <c r="H1079" s="9"/>
      <c r="I1079" s="9"/>
    </row>
    <row r="1080" spans="2:9" x14ac:dyDescent="0.25">
      <c r="B1080" s="9"/>
      <c r="C1080" s="9"/>
      <c r="D1080" s="9"/>
      <c r="E1080" s="9"/>
      <c r="F1080" s="9"/>
      <c r="G1080" s="9"/>
      <c r="H1080" s="9"/>
      <c r="I1080" s="9"/>
    </row>
    <row r="1081" spans="2:9" x14ac:dyDescent="0.25">
      <c r="B1081" s="9"/>
      <c r="C1081" s="9"/>
      <c r="D1081" s="9"/>
      <c r="E1081" s="9"/>
      <c r="F1081" s="9"/>
      <c r="G1081" s="9"/>
      <c r="H1081" s="9"/>
      <c r="I1081" s="9"/>
    </row>
    <row r="1082" spans="2:9" x14ac:dyDescent="0.25">
      <c r="B1082" s="9"/>
      <c r="C1082" s="9"/>
      <c r="D1082" s="9"/>
      <c r="E1082" s="9"/>
      <c r="F1082" s="9"/>
      <c r="G1082" s="9"/>
      <c r="H1082" s="9"/>
      <c r="I1082" s="9"/>
    </row>
    <row r="1083" spans="2:9" x14ac:dyDescent="0.25">
      <c r="B1083" s="9"/>
      <c r="C1083" s="9"/>
      <c r="D1083" s="9"/>
      <c r="E1083" s="9"/>
      <c r="F1083" s="9"/>
      <c r="G1083" s="9"/>
      <c r="H1083" s="9"/>
      <c r="I1083" s="9"/>
    </row>
    <row r="1084" spans="2:9" x14ac:dyDescent="0.25">
      <c r="B1084" s="9"/>
      <c r="C1084" s="9"/>
      <c r="D1084" s="9"/>
      <c r="E1084" s="9"/>
      <c r="F1084" s="9"/>
      <c r="G1084" s="9"/>
      <c r="H1084" s="9"/>
      <c r="I1084" s="9"/>
    </row>
    <row r="1085" spans="2:9" x14ac:dyDescent="0.25">
      <c r="B1085" s="9"/>
      <c r="C1085" s="9"/>
      <c r="D1085" s="9"/>
      <c r="E1085" s="9"/>
      <c r="F1085" s="9"/>
      <c r="G1085" s="9"/>
      <c r="H1085" s="9"/>
      <c r="I1085" s="9"/>
    </row>
    <row r="1086" spans="2:9" x14ac:dyDescent="0.25">
      <c r="B1086" s="9"/>
      <c r="C1086" s="9"/>
      <c r="D1086" s="9"/>
      <c r="E1086" s="9"/>
      <c r="F1086" s="9"/>
      <c r="G1086" s="9"/>
      <c r="H1086" s="9"/>
      <c r="I1086" s="9"/>
    </row>
    <row r="1087" spans="2:9" x14ac:dyDescent="0.25">
      <c r="B1087" s="9"/>
      <c r="C1087" s="9"/>
      <c r="D1087" s="9"/>
      <c r="E1087" s="9"/>
      <c r="F1087" s="9"/>
      <c r="G1087" s="9"/>
      <c r="H1087" s="9"/>
      <c r="I1087" s="9"/>
    </row>
    <row r="1088" spans="2:9" x14ac:dyDescent="0.25">
      <c r="B1088" s="9"/>
      <c r="C1088" s="9"/>
      <c r="D1088" s="9"/>
      <c r="E1088" s="9"/>
      <c r="F1088" s="9"/>
      <c r="G1088" s="9"/>
      <c r="H1088" s="9"/>
      <c r="I1088" s="9"/>
    </row>
    <row r="1089" spans="2:9" x14ac:dyDescent="0.25">
      <c r="B1089" s="9"/>
      <c r="C1089" s="9"/>
      <c r="D1089" s="9"/>
      <c r="E1089" s="9"/>
      <c r="F1089" s="9"/>
      <c r="G1089" s="9"/>
      <c r="H1089" s="9"/>
      <c r="I1089" s="9"/>
    </row>
    <row r="1090" spans="2:9" x14ac:dyDescent="0.25">
      <c r="B1090" s="9"/>
      <c r="C1090" s="9"/>
      <c r="D1090" s="9"/>
      <c r="E1090" s="9"/>
      <c r="F1090" s="9"/>
      <c r="G1090" s="9"/>
      <c r="H1090" s="9"/>
      <c r="I1090" s="9"/>
    </row>
    <row r="1091" spans="2:9" x14ac:dyDescent="0.25">
      <c r="B1091" s="9"/>
      <c r="C1091" s="9"/>
      <c r="D1091" s="9"/>
      <c r="E1091" s="9"/>
      <c r="F1091" s="9"/>
      <c r="G1091" s="9"/>
      <c r="H1091" s="9"/>
      <c r="I1091" s="9"/>
    </row>
    <row r="1092" spans="2:9" x14ac:dyDescent="0.25">
      <c r="B1092" s="9"/>
      <c r="C1092" s="9"/>
      <c r="D1092" s="9"/>
      <c r="E1092" s="9"/>
      <c r="F1092" s="9"/>
      <c r="G1092" s="9"/>
      <c r="H1092" s="9"/>
      <c r="I1092" s="9"/>
    </row>
    <row r="1093" spans="2:9" x14ac:dyDescent="0.25">
      <c r="B1093" s="9"/>
      <c r="C1093" s="9"/>
      <c r="D1093" s="9"/>
      <c r="E1093" s="9"/>
      <c r="F1093" s="9"/>
      <c r="G1093" s="9"/>
      <c r="H1093" s="9"/>
      <c r="I1093" s="9"/>
    </row>
    <row r="1094" spans="2:9" x14ac:dyDescent="0.25">
      <c r="B1094" s="9"/>
      <c r="C1094" s="9"/>
      <c r="D1094" s="9"/>
      <c r="E1094" s="9"/>
      <c r="F1094" s="9"/>
      <c r="G1094" s="9"/>
      <c r="H1094" s="9"/>
      <c r="I1094" s="9"/>
    </row>
    <row r="1095" spans="2:9" x14ac:dyDescent="0.25">
      <c r="B1095" s="9"/>
      <c r="C1095" s="9"/>
      <c r="D1095" s="9"/>
      <c r="E1095" s="9"/>
      <c r="F1095" s="9"/>
      <c r="G1095" s="9"/>
      <c r="H1095" s="9"/>
      <c r="I1095" s="9"/>
    </row>
    <row r="1096" spans="2:9" x14ac:dyDescent="0.25">
      <c r="B1096" s="9"/>
      <c r="C1096" s="9"/>
      <c r="D1096" s="9"/>
      <c r="E1096" s="9"/>
      <c r="F1096" s="9"/>
      <c r="G1096" s="9"/>
      <c r="H1096" s="9"/>
      <c r="I1096" s="9"/>
    </row>
    <row r="1097" spans="2:9" x14ac:dyDescent="0.25">
      <c r="B1097" s="9"/>
      <c r="C1097" s="9"/>
      <c r="D1097" s="9"/>
      <c r="E1097" s="9"/>
      <c r="F1097" s="9"/>
      <c r="G1097" s="9"/>
      <c r="H1097" s="9"/>
      <c r="I1097" s="9"/>
    </row>
    <row r="1098" spans="2:9" x14ac:dyDescent="0.25">
      <c r="B1098" s="9"/>
      <c r="C1098" s="9"/>
      <c r="D1098" s="9"/>
      <c r="E1098" s="9"/>
      <c r="F1098" s="9"/>
      <c r="G1098" s="9"/>
      <c r="H1098" s="9"/>
      <c r="I1098" s="9"/>
    </row>
    <row r="1099" spans="2:9" x14ac:dyDescent="0.25">
      <c r="B1099" s="9"/>
      <c r="C1099" s="9"/>
      <c r="D1099" s="9"/>
      <c r="E1099" s="9"/>
      <c r="F1099" s="9"/>
      <c r="G1099" s="9"/>
      <c r="H1099" s="9"/>
      <c r="I1099" s="9"/>
    </row>
    <row r="1100" spans="2:9" x14ac:dyDescent="0.25">
      <c r="B1100" s="9"/>
      <c r="C1100" s="9"/>
      <c r="D1100" s="9"/>
      <c r="E1100" s="9"/>
      <c r="F1100" s="9"/>
      <c r="G1100" s="9"/>
      <c r="H1100" s="9"/>
      <c r="I1100" s="9"/>
    </row>
    <row r="1101" spans="2:9" x14ac:dyDescent="0.25">
      <c r="B1101" s="9"/>
      <c r="C1101" s="9"/>
      <c r="D1101" s="9"/>
      <c r="E1101" s="9"/>
      <c r="F1101" s="9"/>
      <c r="G1101" s="9"/>
      <c r="H1101" s="9"/>
      <c r="I1101" s="9"/>
    </row>
    <row r="1102" spans="2:9" x14ac:dyDescent="0.25">
      <c r="B1102" s="9"/>
      <c r="C1102" s="9"/>
      <c r="D1102" s="9"/>
      <c r="E1102" s="9"/>
      <c r="F1102" s="9"/>
      <c r="G1102" s="9"/>
      <c r="H1102" s="9"/>
      <c r="I1102" s="9"/>
    </row>
    <row r="1103" spans="2:9" x14ac:dyDescent="0.25">
      <c r="B1103" s="9"/>
      <c r="C1103" s="9"/>
      <c r="D1103" s="9"/>
      <c r="E1103" s="9"/>
      <c r="F1103" s="9"/>
      <c r="G1103" s="9"/>
      <c r="H1103" s="9"/>
      <c r="I1103" s="9"/>
    </row>
    <row r="1104" spans="2:9" x14ac:dyDescent="0.25">
      <c r="B1104" s="9"/>
      <c r="C1104" s="9"/>
      <c r="D1104" s="9"/>
      <c r="E1104" s="9"/>
      <c r="F1104" s="9"/>
      <c r="G1104" s="9"/>
      <c r="H1104" s="9"/>
      <c r="I1104" s="9"/>
    </row>
    <row r="1105" spans="2:9" x14ac:dyDescent="0.25">
      <c r="B1105" s="9"/>
      <c r="C1105" s="9"/>
      <c r="D1105" s="9"/>
      <c r="E1105" s="9"/>
      <c r="F1105" s="9"/>
      <c r="G1105" s="9"/>
      <c r="H1105" s="9"/>
      <c r="I1105" s="9"/>
    </row>
    <row r="1106" spans="2:9" x14ac:dyDescent="0.25">
      <c r="B1106" s="9"/>
      <c r="C1106" s="9"/>
      <c r="D1106" s="9"/>
      <c r="E1106" s="9"/>
      <c r="F1106" s="9"/>
      <c r="G1106" s="9"/>
      <c r="H1106" s="9"/>
      <c r="I1106" s="9"/>
    </row>
    <row r="1107" spans="2:9" x14ac:dyDescent="0.25">
      <c r="B1107" s="9"/>
      <c r="C1107" s="9"/>
      <c r="D1107" s="9"/>
      <c r="E1107" s="9"/>
      <c r="F1107" s="9"/>
      <c r="G1107" s="9"/>
      <c r="H1107" s="9"/>
      <c r="I1107" s="9"/>
    </row>
    <row r="1108" spans="2:9" x14ac:dyDescent="0.25">
      <c r="B1108" s="9"/>
      <c r="C1108" s="9"/>
      <c r="D1108" s="9"/>
      <c r="E1108" s="9"/>
      <c r="F1108" s="9"/>
      <c r="G1108" s="9"/>
      <c r="H1108" s="9"/>
      <c r="I1108" s="9"/>
    </row>
    <row r="1109" spans="2:9" x14ac:dyDescent="0.25">
      <c r="B1109" s="9"/>
      <c r="C1109" s="9"/>
      <c r="D1109" s="9"/>
      <c r="E1109" s="9"/>
      <c r="F1109" s="9"/>
      <c r="G1109" s="9"/>
      <c r="H1109" s="9"/>
      <c r="I1109" s="9"/>
    </row>
    <row r="1110" spans="2:9" x14ac:dyDescent="0.25">
      <c r="B1110" s="9"/>
      <c r="C1110" s="9"/>
      <c r="D1110" s="9"/>
      <c r="E1110" s="9"/>
      <c r="F1110" s="9"/>
      <c r="G1110" s="9"/>
      <c r="H1110" s="9"/>
      <c r="I1110" s="9"/>
    </row>
    <row r="1111" spans="2:9" x14ac:dyDescent="0.25">
      <c r="B1111" s="9"/>
      <c r="C1111" s="9"/>
      <c r="D1111" s="9"/>
      <c r="E1111" s="9"/>
      <c r="F1111" s="9"/>
      <c r="G1111" s="9"/>
      <c r="H1111" s="9"/>
      <c r="I1111" s="9"/>
    </row>
    <row r="1112" spans="2:9" x14ac:dyDescent="0.25">
      <c r="B1112" s="9"/>
      <c r="C1112" s="9"/>
      <c r="D1112" s="9"/>
      <c r="E1112" s="9"/>
      <c r="F1112" s="9"/>
      <c r="G1112" s="9"/>
      <c r="H1112" s="9"/>
      <c r="I1112" s="9"/>
    </row>
    <row r="1113" spans="2:9" x14ac:dyDescent="0.25">
      <c r="B1113" s="9"/>
      <c r="C1113" s="9"/>
      <c r="D1113" s="9"/>
      <c r="E1113" s="9"/>
      <c r="F1113" s="9"/>
      <c r="G1113" s="9"/>
      <c r="H1113" s="9"/>
      <c r="I1113" s="9"/>
    </row>
    <row r="1114" spans="2:9" x14ac:dyDescent="0.25">
      <c r="B1114" s="9"/>
      <c r="C1114" s="9"/>
      <c r="D1114" s="9"/>
      <c r="E1114" s="9"/>
      <c r="F1114" s="9"/>
      <c r="G1114" s="9"/>
      <c r="H1114" s="9"/>
      <c r="I1114" s="9"/>
    </row>
    <row r="1115" spans="2:9" x14ac:dyDescent="0.25">
      <c r="B1115" s="9"/>
      <c r="C1115" s="9"/>
      <c r="D1115" s="9"/>
      <c r="E1115" s="9"/>
      <c r="F1115" s="9"/>
      <c r="G1115" s="9"/>
      <c r="H1115" s="9"/>
      <c r="I1115" s="9"/>
    </row>
    <row r="1116" spans="2:9" x14ac:dyDescent="0.25">
      <c r="B1116" s="9"/>
      <c r="C1116" s="9"/>
      <c r="D1116" s="9"/>
      <c r="E1116" s="9"/>
      <c r="F1116" s="9"/>
      <c r="G1116" s="9"/>
      <c r="H1116" s="9"/>
      <c r="I1116" s="9"/>
    </row>
    <row r="1117" spans="2:9" x14ac:dyDescent="0.25">
      <c r="B1117" s="9"/>
      <c r="C1117" s="9"/>
      <c r="D1117" s="9"/>
      <c r="E1117" s="9"/>
      <c r="F1117" s="9"/>
      <c r="G1117" s="9"/>
      <c r="H1117" s="9"/>
      <c r="I1117" s="9"/>
    </row>
    <row r="1118" spans="2:9" x14ac:dyDescent="0.25">
      <c r="B1118" s="9"/>
      <c r="C1118" s="9"/>
      <c r="D1118" s="9"/>
      <c r="E1118" s="9"/>
      <c r="F1118" s="9"/>
      <c r="G1118" s="9"/>
      <c r="H1118" s="9"/>
      <c r="I1118" s="9"/>
    </row>
    <row r="1119" spans="2:9" x14ac:dyDescent="0.25">
      <c r="B1119" s="9"/>
      <c r="C1119" s="9"/>
      <c r="D1119" s="9"/>
      <c r="E1119" s="9"/>
      <c r="F1119" s="9"/>
      <c r="G1119" s="9"/>
      <c r="H1119" s="9"/>
      <c r="I1119" s="9"/>
    </row>
    <row r="1120" spans="2:9" x14ac:dyDescent="0.25">
      <c r="B1120" s="9"/>
      <c r="C1120" s="9"/>
      <c r="D1120" s="9"/>
      <c r="E1120" s="9"/>
      <c r="F1120" s="9"/>
      <c r="G1120" s="9"/>
      <c r="H1120" s="9"/>
      <c r="I1120" s="9"/>
    </row>
    <row r="1121" spans="2:9" x14ac:dyDescent="0.25">
      <c r="B1121" s="9"/>
      <c r="C1121" s="9"/>
      <c r="D1121" s="9"/>
      <c r="E1121" s="9"/>
      <c r="F1121" s="9"/>
      <c r="G1121" s="9"/>
      <c r="H1121" s="9"/>
      <c r="I1121" s="9"/>
    </row>
    <row r="1122" spans="2:9" x14ac:dyDescent="0.25">
      <c r="B1122" s="9"/>
      <c r="C1122" s="9"/>
      <c r="D1122" s="9"/>
      <c r="E1122" s="9"/>
      <c r="F1122" s="9"/>
      <c r="G1122" s="9"/>
      <c r="H1122" s="9"/>
      <c r="I1122" s="9"/>
    </row>
    <row r="1123" spans="2:9" x14ac:dyDescent="0.25">
      <c r="B1123" s="9"/>
      <c r="C1123" s="9"/>
      <c r="D1123" s="9"/>
      <c r="E1123" s="9"/>
      <c r="F1123" s="9"/>
      <c r="G1123" s="9"/>
      <c r="H1123" s="9"/>
      <c r="I1123" s="9"/>
    </row>
    <row r="1124" spans="2:9" x14ac:dyDescent="0.25">
      <c r="B1124" s="9"/>
      <c r="C1124" s="9"/>
      <c r="D1124" s="9"/>
      <c r="E1124" s="9"/>
      <c r="F1124" s="9"/>
      <c r="G1124" s="9"/>
      <c r="H1124" s="9"/>
      <c r="I1124" s="9"/>
    </row>
    <row r="1125" spans="2:9" x14ac:dyDescent="0.25">
      <c r="B1125" s="9"/>
      <c r="C1125" s="9"/>
      <c r="D1125" s="9"/>
      <c r="E1125" s="9"/>
      <c r="F1125" s="9"/>
      <c r="G1125" s="9"/>
      <c r="H1125" s="9"/>
      <c r="I1125" s="9"/>
    </row>
    <row r="1126" spans="2:9" x14ac:dyDescent="0.25">
      <c r="B1126" s="9"/>
      <c r="C1126" s="9"/>
      <c r="D1126" s="9"/>
      <c r="E1126" s="9"/>
      <c r="F1126" s="9"/>
      <c r="G1126" s="9"/>
      <c r="H1126" s="9"/>
      <c r="I1126" s="9"/>
    </row>
    <row r="1127" spans="2:9" x14ac:dyDescent="0.25">
      <c r="B1127" s="9"/>
      <c r="C1127" s="9"/>
      <c r="D1127" s="9"/>
      <c r="E1127" s="9"/>
      <c r="F1127" s="9"/>
      <c r="G1127" s="9"/>
      <c r="H1127" s="9"/>
      <c r="I1127" s="9"/>
    </row>
    <row r="1128" spans="2:9" x14ac:dyDescent="0.25">
      <c r="B1128" s="9"/>
      <c r="C1128" s="9"/>
      <c r="D1128" s="9"/>
      <c r="E1128" s="9"/>
      <c r="F1128" s="9"/>
      <c r="G1128" s="9"/>
      <c r="H1128" s="9"/>
      <c r="I1128" s="9"/>
    </row>
    <row r="1129" spans="2:9" x14ac:dyDescent="0.25">
      <c r="B1129" s="9"/>
      <c r="C1129" s="9"/>
      <c r="D1129" s="9"/>
      <c r="E1129" s="9"/>
      <c r="F1129" s="9"/>
      <c r="G1129" s="9"/>
      <c r="H1129" s="9"/>
      <c r="I1129" s="9"/>
    </row>
    <row r="1130" spans="2:9" x14ac:dyDescent="0.25">
      <c r="B1130" s="9"/>
      <c r="C1130" s="9"/>
      <c r="D1130" s="9"/>
      <c r="E1130" s="9"/>
      <c r="F1130" s="9"/>
      <c r="G1130" s="9"/>
      <c r="H1130" s="9"/>
      <c r="I1130" s="9"/>
    </row>
    <row r="1131" spans="2:9" x14ac:dyDescent="0.25">
      <c r="B1131" s="9"/>
      <c r="C1131" s="9"/>
      <c r="D1131" s="9"/>
      <c r="E1131" s="9"/>
      <c r="F1131" s="9"/>
      <c r="G1131" s="9"/>
      <c r="H1131" s="9"/>
      <c r="I1131" s="9"/>
    </row>
    <row r="1132" spans="2:9" x14ac:dyDescent="0.25">
      <c r="B1132" s="9"/>
      <c r="C1132" s="9"/>
      <c r="D1132" s="9"/>
      <c r="E1132" s="9"/>
      <c r="F1132" s="9"/>
      <c r="G1132" s="9"/>
      <c r="H1132" s="9"/>
      <c r="I1132" s="9"/>
    </row>
    <row r="1133" spans="2:9" x14ac:dyDescent="0.25">
      <c r="B1133" s="9"/>
      <c r="C1133" s="9"/>
      <c r="D1133" s="9"/>
      <c r="E1133" s="9"/>
      <c r="F1133" s="9"/>
      <c r="G1133" s="9"/>
      <c r="H1133" s="9"/>
      <c r="I1133" s="9"/>
    </row>
    <row r="1134" spans="2:9" x14ac:dyDescent="0.25">
      <c r="B1134" s="9"/>
      <c r="C1134" s="9"/>
      <c r="D1134" s="9"/>
      <c r="E1134" s="9"/>
      <c r="F1134" s="9"/>
      <c r="G1134" s="9"/>
      <c r="H1134" s="9"/>
      <c r="I1134" s="9"/>
    </row>
    <row r="1135" spans="2:9" x14ac:dyDescent="0.25">
      <c r="B1135" s="9"/>
      <c r="C1135" s="9"/>
      <c r="D1135" s="9"/>
      <c r="E1135" s="9"/>
      <c r="F1135" s="9"/>
      <c r="G1135" s="9"/>
      <c r="H1135" s="9"/>
      <c r="I1135" s="9"/>
    </row>
    <row r="1136" spans="2:9" x14ac:dyDescent="0.25">
      <c r="B1136" s="9"/>
      <c r="C1136" s="9"/>
      <c r="D1136" s="9"/>
      <c r="E1136" s="9"/>
      <c r="F1136" s="9"/>
      <c r="G1136" s="9"/>
      <c r="H1136" s="9"/>
      <c r="I1136" s="9"/>
    </row>
    <row r="1137" spans="2:9" x14ac:dyDescent="0.25">
      <c r="B1137" s="9"/>
      <c r="C1137" s="9"/>
      <c r="D1137" s="9"/>
      <c r="E1137" s="9"/>
      <c r="F1137" s="9"/>
      <c r="G1137" s="9"/>
      <c r="H1137" s="9"/>
      <c r="I1137" s="9"/>
    </row>
    <row r="1138" spans="2:9" x14ac:dyDescent="0.25">
      <c r="B1138" s="9"/>
      <c r="C1138" s="9"/>
      <c r="D1138" s="9"/>
      <c r="E1138" s="9"/>
      <c r="F1138" s="9"/>
      <c r="G1138" s="9"/>
      <c r="H1138" s="9"/>
      <c r="I1138" s="9"/>
    </row>
    <row r="1139" spans="2:9" x14ac:dyDescent="0.25">
      <c r="B1139" s="9"/>
      <c r="C1139" s="9"/>
      <c r="D1139" s="9"/>
      <c r="E1139" s="9"/>
      <c r="F1139" s="9"/>
      <c r="G1139" s="9"/>
      <c r="H1139" s="9"/>
      <c r="I1139" s="9"/>
    </row>
    <row r="1140" spans="2:9" x14ac:dyDescent="0.25">
      <c r="B1140" s="9"/>
      <c r="C1140" s="9"/>
      <c r="D1140" s="9"/>
      <c r="E1140" s="9"/>
      <c r="F1140" s="9"/>
      <c r="G1140" s="9"/>
      <c r="H1140" s="9"/>
      <c r="I1140" s="9"/>
    </row>
    <row r="1141" spans="2:9" x14ac:dyDescent="0.25">
      <c r="B1141" s="9"/>
      <c r="C1141" s="9"/>
      <c r="D1141" s="9"/>
      <c r="E1141" s="9"/>
      <c r="F1141" s="9"/>
      <c r="G1141" s="9"/>
      <c r="H1141" s="9"/>
      <c r="I1141" s="9"/>
    </row>
    <row r="1142" spans="2:9" x14ac:dyDescent="0.25">
      <c r="B1142" s="9"/>
      <c r="C1142" s="9"/>
      <c r="D1142" s="9"/>
      <c r="E1142" s="9"/>
      <c r="F1142" s="9"/>
      <c r="G1142" s="9"/>
      <c r="H1142" s="9"/>
      <c r="I1142" s="9"/>
    </row>
    <row r="1143" spans="2:9" x14ac:dyDescent="0.25">
      <c r="B1143" s="9"/>
      <c r="C1143" s="9"/>
      <c r="D1143" s="9"/>
      <c r="E1143" s="9"/>
      <c r="F1143" s="9"/>
      <c r="G1143" s="9"/>
      <c r="H1143" s="9"/>
      <c r="I1143" s="9"/>
    </row>
    <row r="1144" spans="2:9" x14ac:dyDescent="0.25">
      <c r="B1144" s="9"/>
      <c r="C1144" s="9"/>
      <c r="D1144" s="9"/>
      <c r="E1144" s="9"/>
      <c r="F1144" s="9"/>
      <c r="G1144" s="9"/>
      <c r="H1144" s="9"/>
      <c r="I1144" s="9"/>
    </row>
    <row r="1145" spans="2:9" x14ac:dyDescent="0.25">
      <c r="B1145" s="9"/>
      <c r="C1145" s="9"/>
      <c r="D1145" s="9"/>
      <c r="E1145" s="9"/>
      <c r="F1145" s="9"/>
      <c r="G1145" s="9"/>
      <c r="H1145" s="9"/>
      <c r="I1145" s="9"/>
    </row>
    <row r="1146" spans="2:9" x14ac:dyDescent="0.25">
      <c r="B1146" s="9"/>
      <c r="C1146" s="9"/>
      <c r="D1146" s="9"/>
      <c r="E1146" s="9"/>
      <c r="F1146" s="9"/>
      <c r="G1146" s="9"/>
      <c r="H1146" s="9"/>
      <c r="I1146" s="9"/>
    </row>
    <row r="1147" spans="2:9" x14ac:dyDescent="0.25">
      <c r="B1147" s="9"/>
      <c r="C1147" s="9"/>
      <c r="D1147" s="9"/>
      <c r="E1147" s="9"/>
      <c r="F1147" s="9"/>
      <c r="G1147" s="9"/>
      <c r="H1147" s="9"/>
      <c r="I1147" s="9"/>
    </row>
    <row r="1148" spans="2:9" x14ac:dyDescent="0.25">
      <c r="B1148" s="9"/>
      <c r="C1148" s="9"/>
      <c r="D1148" s="9"/>
      <c r="E1148" s="9"/>
      <c r="F1148" s="9"/>
      <c r="G1148" s="9"/>
      <c r="H1148" s="9"/>
      <c r="I1148" s="9"/>
    </row>
    <row r="1149" spans="2:9" x14ac:dyDescent="0.25">
      <c r="B1149" s="9"/>
      <c r="C1149" s="9"/>
      <c r="D1149" s="9"/>
      <c r="E1149" s="9"/>
      <c r="F1149" s="9"/>
      <c r="G1149" s="9"/>
      <c r="H1149" s="9"/>
      <c r="I1149" s="9"/>
    </row>
    <row r="1150" spans="2:9" x14ac:dyDescent="0.25">
      <c r="B1150" s="9"/>
      <c r="C1150" s="9"/>
      <c r="D1150" s="9"/>
      <c r="E1150" s="9"/>
      <c r="F1150" s="9"/>
      <c r="G1150" s="9"/>
      <c r="H1150" s="9"/>
      <c r="I1150" s="9"/>
    </row>
    <row r="1151" spans="2:9" x14ac:dyDescent="0.25">
      <c r="B1151" s="9"/>
      <c r="C1151" s="9"/>
      <c r="D1151" s="9"/>
      <c r="E1151" s="9"/>
      <c r="F1151" s="9"/>
      <c r="G1151" s="9"/>
      <c r="H1151" s="9"/>
      <c r="I1151" s="9"/>
    </row>
    <row r="1152" spans="2:9" x14ac:dyDescent="0.25">
      <c r="B1152" s="9"/>
      <c r="C1152" s="9"/>
      <c r="D1152" s="9"/>
      <c r="E1152" s="9"/>
      <c r="F1152" s="9"/>
      <c r="G1152" s="9"/>
      <c r="H1152" s="9"/>
      <c r="I1152" s="9"/>
    </row>
    <row r="1153" spans="2:9" x14ac:dyDescent="0.25">
      <c r="B1153" s="9"/>
      <c r="C1153" s="9"/>
      <c r="D1153" s="9"/>
      <c r="E1153" s="9"/>
      <c r="F1153" s="9"/>
      <c r="G1153" s="9"/>
      <c r="H1153" s="9"/>
      <c r="I1153" s="9"/>
    </row>
    <row r="1154" spans="2:9" x14ac:dyDescent="0.25">
      <c r="B1154" s="9"/>
      <c r="C1154" s="9"/>
      <c r="D1154" s="9"/>
      <c r="E1154" s="9"/>
      <c r="F1154" s="9"/>
      <c r="G1154" s="9"/>
      <c r="H1154" s="9"/>
      <c r="I1154" s="9"/>
    </row>
    <row r="1155" spans="2:9" x14ac:dyDescent="0.25">
      <c r="B1155" s="9"/>
      <c r="C1155" s="9"/>
      <c r="D1155" s="9"/>
      <c r="E1155" s="9"/>
      <c r="F1155" s="9"/>
      <c r="G1155" s="9"/>
      <c r="H1155" s="9"/>
      <c r="I1155" s="9"/>
    </row>
    <row r="1156" spans="2:9" x14ac:dyDescent="0.25">
      <c r="B1156" s="9"/>
      <c r="C1156" s="9"/>
      <c r="D1156" s="9"/>
      <c r="E1156" s="9"/>
      <c r="F1156" s="9"/>
      <c r="G1156" s="9"/>
      <c r="H1156" s="9"/>
      <c r="I1156" s="9"/>
    </row>
    <row r="1157" spans="2:9" x14ac:dyDescent="0.25">
      <c r="B1157" s="9"/>
      <c r="C1157" s="9"/>
      <c r="D1157" s="9"/>
      <c r="E1157" s="9"/>
      <c r="F1157" s="9"/>
      <c r="G1157" s="9"/>
      <c r="H1157" s="9"/>
      <c r="I1157" s="9"/>
    </row>
    <row r="1158" spans="2:9" x14ac:dyDescent="0.25">
      <c r="B1158" s="9"/>
      <c r="C1158" s="9"/>
      <c r="D1158" s="9"/>
      <c r="E1158" s="9"/>
      <c r="F1158" s="9"/>
      <c r="G1158" s="9"/>
      <c r="H1158" s="9"/>
      <c r="I1158" s="9"/>
    </row>
    <row r="1159" spans="2:9" x14ac:dyDescent="0.25">
      <c r="B1159" s="9"/>
      <c r="C1159" s="9"/>
      <c r="D1159" s="9"/>
      <c r="E1159" s="9"/>
      <c r="F1159" s="9"/>
      <c r="G1159" s="9"/>
      <c r="H1159" s="9"/>
      <c r="I1159" s="9"/>
    </row>
    <row r="1160" spans="2:9" x14ac:dyDescent="0.25">
      <c r="B1160" s="9"/>
      <c r="C1160" s="9"/>
      <c r="D1160" s="9"/>
      <c r="E1160" s="9"/>
      <c r="F1160" s="9"/>
      <c r="G1160" s="9"/>
      <c r="H1160" s="9"/>
      <c r="I1160" s="9"/>
    </row>
    <row r="1161" spans="2:9" x14ac:dyDescent="0.25">
      <c r="B1161" s="9"/>
      <c r="C1161" s="9"/>
      <c r="D1161" s="9"/>
      <c r="E1161" s="9"/>
      <c r="F1161" s="9"/>
      <c r="G1161" s="9"/>
      <c r="H1161" s="9"/>
      <c r="I1161" s="9"/>
    </row>
    <row r="1162" spans="2:9" x14ac:dyDescent="0.25">
      <c r="B1162" s="9"/>
      <c r="C1162" s="9"/>
      <c r="D1162" s="9"/>
      <c r="E1162" s="9"/>
      <c r="F1162" s="9"/>
      <c r="G1162" s="9"/>
      <c r="H1162" s="9"/>
      <c r="I1162" s="9"/>
    </row>
    <row r="1163" spans="2:9" x14ac:dyDescent="0.25">
      <c r="B1163" s="9"/>
      <c r="C1163" s="9"/>
      <c r="D1163" s="9"/>
      <c r="E1163" s="9"/>
      <c r="F1163" s="9"/>
      <c r="G1163" s="9"/>
      <c r="H1163" s="9"/>
      <c r="I1163" s="9"/>
    </row>
    <row r="1164" spans="2:9" x14ac:dyDescent="0.25">
      <c r="B1164" s="9"/>
      <c r="C1164" s="9"/>
      <c r="D1164" s="9"/>
      <c r="E1164" s="9"/>
      <c r="F1164" s="9"/>
      <c r="G1164" s="9"/>
      <c r="H1164" s="9"/>
      <c r="I1164" s="9"/>
    </row>
    <row r="1165" spans="2:9" x14ac:dyDescent="0.25">
      <c r="B1165" s="9"/>
      <c r="C1165" s="9"/>
      <c r="D1165" s="9"/>
      <c r="E1165" s="9"/>
      <c r="F1165" s="9"/>
      <c r="G1165" s="9"/>
      <c r="H1165" s="9"/>
      <c r="I1165" s="9"/>
    </row>
  </sheetData>
  <autoFilter ref="B15:I45" xr:uid="{CB6276A5-5A68-4DDF-8D74-4B6B9433D12C}"/>
  <hyperlinks>
    <hyperlink ref="I45" r:id="rId1" xr:uid="{35A8A8C7-2298-4E48-A7F4-C6F81FE514FF}"/>
    <hyperlink ref="I44" r:id="rId2" xr:uid="{097A09FB-F868-4230-B6CB-10E200E1F736}"/>
    <hyperlink ref="I43" r:id="rId3" xr:uid="{72879AD1-9091-4BA1-AE22-9420661CEF6D}"/>
    <hyperlink ref="I42" r:id="rId4" xr:uid="{BAF593F4-2EEE-4151-ABF1-9B499A5B060D}"/>
    <hyperlink ref="I41" r:id="rId5" xr:uid="{BBDF5AA7-E987-43E4-B5DA-7E1C6CBF1805}"/>
    <hyperlink ref="I40" r:id="rId6" xr:uid="{266CC57D-CE59-447B-A4C4-9A12EDF8C4B1}"/>
    <hyperlink ref="I39" r:id="rId7" xr:uid="{295E5864-9F9E-47AD-A270-D6CDAFB293A4}"/>
    <hyperlink ref="I38" r:id="rId8" xr:uid="{9BDF137F-D025-4F66-B8D6-B061829FDEEA}"/>
    <hyperlink ref="I37" r:id="rId9" xr:uid="{A537BF1B-7843-4F5F-A18B-AD82B211DDC4}"/>
    <hyperlink ref="I36" r:id="rId10" xr:uid="{02CA7431-F5A0-4804-B5C5-D77982299B02}"/>
    <hyperlink ref="I35" r:id="rId11" xr:uid="{3729F2C5-DEE2-4A6C-A67F-36AF781F2C82}"/>
    <hyperlink ref="I34" r:id="rId12" xr:uid="{88E84615-86F6-4819-B005-0AC64C9463A9}"/>
    <hyperlink ref="I33" r:id="rId13" xr:uid="{C3351DDD-F69A-4A60-9AF8-6E383604F673}"/>
    <hyperlink ref="I32" r:id="rId14" xr:uid="{4FD05A5E-5228-4985-A50C-32B3F5D908E8}"/>
    <hyperlink ref="I31" r:id="rId15" xr:uid="{5DC82C46-7A58-4B2A-8BD2-5ADFFCCF556A}"/>
    <hyperlink ref="I30" r:id="rId16" xr:uid="{70AFFD33-95EE-40CD-9449-D1F2F86979C6}"/>
    <hyperlink ref="I29" r:id="rId17" xr:uid="{F8EEF463-76B2-488E-B463-CEF4A609A0BD}"/>
    <hyperlink ref="I28" r:id="rId18" xr:uid="{534725B7-97CE-4E73-8B66-572239AED16F}"/>
    <hyperlink ref="I27" r:id="rId19" xr:uid="{822A80F1-6C9B-475C-B607-4B3B702558BB}"/>
    <hyperlink ref="I26" r:id="rId20" xr:uid="{6788A2B4-B360-4C12-B13D-D070A0C9E504}"/>
    <hyperlink ref="I25" r:id="rId21" xr:uid="{9BEB7C83-0D3A-4DA4-90DC-8AD8EC05CB3A}"/>
    <hyperlink ref="I24" r:id="rId22" xr:uid="{A86A1CDB-F55A-4C8C-9F68-C4D900DBDCE0}"/>
    <hyperlink ref="I23" r:id="rId23" xr:uid="{D6666F91-CFFC-46ED-9B47-30580B742AA1}"/>
    <hyperlink ref="I22" r:id="rId24" xr:uid="{E1212BCF-684E-450D-A7A9-BE52EA0FA781}"/>
    <hyperlink ref="I21" r:id="rId25" xr:uid="{7CF19F3B-EA47-4638-994C-9B3070AA0EBB}"/>
    <hyperlink ref="I20" r:id="rId26" xr:uid="{0DA42526-8647-4DDD-99E6-C3F042A37BA8}"/>
    <hyperlink ref="I19" r:id="rId27" xr:uid="{79EEABA9-8839-47B1-B6E2-AE38B337F275}"/>
    <hyperlink ref="I18" r:id="rId28" xr:uid="{95B7AA09-2D82-4BF7-89A8-6338CFCC1D3A}"/>
    <hyperlink ref="I17" r:id="rId29" xr:uid="{CE41F13A-5E00-4A49-A020-09D5CA1E6BC2}"/>
    <hyperlink ref="I16" r:id="rId30" xr:uid="{BFABAA05-97A5-4A99-B45B-36359ADCB246}"/>
  </hyperlinks>
  <pageMargins left="0.7" right="0.7" top="0.75" bottom="0.75" header="0.3" footer="0.3"/>
  <pageSetup paperSize="9" orientation="portrait" r:id="rId31"/>
  <drawing r:id="rId3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772ED-B1D7-4F5F-9031-E8F0227FE083}">
  <sheetPr codeName="Planilha2"/>
  <dimension ref="B1:Q247"/>
  <sheetViews>
    <sheetView showGridLines="0" topLeftCell="A6" zoomScale="85" zoomScaleNormal="85" workbookViewId="0">
      <selection activeCell="B27" sqref="B27"/>
    </sheetView>
  </sheetViews>
  <sheetFormatPr defaultRowHeight="15" x14ac:dyDescent="0.25"/>
  <cols>
    <col min="2" max="2" width="16.28515625" bestFit="1" customWidth="1"/>
    <col min="3" max="3" width="73.140625" customWidth="1"/>
    <col min="6" max="6" width="14.42578125" customWidth="1"/>
    <col min="7" max="7" width="27.5703125" customWidth="1"/>
    <col min="9" max="9" width="15" customWidth="1"/>
  </cols>
  <sheetData>
    <row r="1" spans="2:17" ht="32.25" x14ac:dyDescent="0.4">
      <c r="B1" s="8"/>
      <c r="C1" s="9"/>
      <c r="D1" s="9"/>
      <c r="E1" s="9"/>
      <c r="F1" s="9"/>
      <c r="G1" s="9"/>
      <c r="H1" s="9"/>
      <c r="I1" s="9"/>
      <c r="J1" s="9"/>
      <c r="K1" s="9"/>
      <c r="L1" s="1"/>
      <c r="M1" s="1"/>
      <c r="N1" s="1"/>
      <c r="O1" s="1"/>
      <c r="P1" s="1"/>
      <c r="Q1" s="1"/>
    </row>
    <row r="4" spans="2:17" x14ac:dyDescent="0.25">
      <c r="B4" s="12" t="s">
        <v>128</v>
      </c>
      <c r="C4" s="2"/>
    </row>
    <row r="5" spans="2:17" x14ac:dyDescent="0.25">
      <c r="B5" s="13" t="s">
        <v>17</v>
      </c>
      <c r="C5" s="2"/>
    </row>
    <row r="6" spans="2:17" x14ac:dyDescent="0.25">
      <c r="B6" s="14" t="s">
        <v>18</v>
      </c>
      <c r="C6" s="31"/>
    </row>
    <row r="7" spans="2:17" x14ac:dyDescent="0.25">
      <c r="B7" s="24" t="s">
        <v>19</v>
      </c>
      <c r="C7" s="31"/>
    </row>
    <row r="8" spans="2:17" x14ac:dyDescent="0.25">
      <c r="B8" s="25" t="s">
        <v>16</v>
      </c>
      <c r="C8" s="32"/>
    </row>
    <row r="9" spans="2:17" x14ac:dyDescent="0.25">
      <c r="B9" s="46" t="s">
        <v>20</v>
      </c>
      <c r="C9" s="32"/>
    </row>
    <row r="10" spans="2:17" x14ac:dyDescent="0.25">
      <c r="B10" s="9"/>
      <c r="C10" s="9"/>
    </row>
    <row r="11" spans="2:17" x14ac:dyDescent="0.25">
      <c r="B11" s="9"/>
      <c r="C11" s="9"/>
    </row>
    <row r="12" spans="2:17" x14ac:dyDescent="0.25">
      <c r="B12" s="23"/>
      <c r="C12" s="9"/>
    </row>
    <row r="16" spans="2:17" x14ac:dyDescent="0.25">
      <c r="B16" s="11" t="s">
        <v>128</v>
      </c>
      <c r="C16" s="11" t="s">
        <v>17</v>
      </c>
      <c r="D16" s="11" t="s">
        <v>18</v>
      </c>
      <c r="E16" s="11" t="s">
        <v>19</v>
      </c>
      <c r="F16" s="11" t="s">
        <v>16</v>
      </c>
      <c r="G16" s="11" t="s">
        <v>20</v>
      </c>
      <c r="H16" s="28"/>
      <c r="I16" s="28"/>
    </row>
    <row r="17" spans="2:9" x14ac:dyDescent="0.25">
      <c r="B17" s="2" t="s">
        <v>173</v>
      </c>
      <c r="C17" s="2" t="s">
        <v>174</v>
      </c>
      <c r="D17" s="31">
        <v>1980</v>
      </c>
      <c r="E17" s="31" t="s">
        <v>175</v>
      </c>
      <c r="F17" s="32" t="s">
        <v>176</v>
      </c>
      <c r="G17" s="32">
        <v>1000000000</v>
      </c>
      <c r="H17" s="28"/>
      <c r="I17" s="28"/>
    </row>
    <row r="18" spans="2:9" x14ac:dyDescent="0.25">
      <c r="B18" s="2" t="s">
        <v>170</v>
      </c>
      <c r="C18" s="2" t="s">
        <v>171</v>
      </c>
      <c r="D18" s="31">
        <v>2005</v>
      </c>
      <c r="E18" s="31" t="s">
        <v>172</v>
      </c>
      <c r="F18" s="32" t="s">
        <v>150</v>
      </c>
      <c r="G18" s="32">
        <v>2000000000000000</v>
      </c>
      <c r="H18" s="28"/>
      <c r="I18" s="28"/>
    </row>
    <row r="19" spans="2:9" x14ac:dyDescent="0.25">
      <c r="B19" s="2" t="s">
        <v>167</v>
      </c>
      <c r="C19" s="2" t="s">
        <v>168</v>
      </c>
      <c r="D19" s="31">
        <v>2005</v>
      </c>
      <c r="E19" s="31" t="s">
        <v>169</v>
      </c>
      <c r="F19" s="32" t="s">
        <v>150</v>
      </c>
      <c r="G19" s="32">
        <v>10000000000000</v>
      </c>
      <c r="H19" s="28"/>
      <c r="I19" s="28"/>
    </row>
    <row r="20" spans="2:9" x14ac:dyDescent="0.25">
      <c r="B20" s="50">
        <v>1234</v>
      </c>
      <c r="C20" s="2" t="s">
        <v>135</v>
      </c>
      <c r="D20" s="31">
        <v>2020</v>
      </c>
      <c r="E20" s="31" t="s">
        <v>151</v>
      </c>
      <c r="F20" s="2" t="s">
        <v>150</v>
      </c>
      <c r="G20" s="32">
        <v>200000000</v>
      </c>
      <c r="H20" s="28"/>
      <c r="I20" s="28"/>
    </row>
    <row r="21" spans="2:9" x14ac:dyDescent="0.25">
      <c r="B21" s="50" t="s">
        <v>149</v>
      </c>
      <c r="C21" s="2" t="s">
        <v>147</v>
      </c>
      <c r="D21" s="31">
        <v>2020</v>
      </c>
      <c r="E21" s="31" t="s">
        <v>148</v>
      </c>
      <c r="F21" s="2" t="s">
        <v>146</v>
      </c>
      <c r="G21" s="32">
        <v>700000000000</v>
      </c>
      <c r="H21" s="28"/>
      <c r="I21" s="28"/>
    </row>
    <row r="22" spans="2:9" x14ac:dyDescent="0.25">
      <c r="B22" s="51" t="s">
        <v>136</v>
      </c>
      <c r="C22" s="2" t="s">
        <v>124</v>
      </c>
      <c r="D22" s="31">
        <v>2020</v>
      </c>
      <c r="E22" s="31" t="s">
        <v>125</v>
      </c>
      <c r="F22" s="2" t="s">
        <v>123</v>
      </c>
      <c r="G22" s="32">
        <v>220000</v>
      </c>
      <c r="H22" s="29"/>
      <c r="I22" s="29"/>
    </row>
    <row r="23" spans="2:9" x14ac:dyDescent="0.25">
      <c r="B23" s="51" t="s">
        <v>137</v>
      </c>
      <c r="C23" s="2" t="s">
        <v>121</v>
      </c>
      <c r="D23" s="31">
        <v>2020</v>
      </c>
      <c r="E23" s="31" t="s">
        <v>122</v>
      </c>
      <c r="F23" s="2" t="s">
        <v>120</v>
      </c>
      <c r="G23" s="32">
        <v>240000</v>
      </c>
      <c r="H23" s="29"/>
      <c r="I23" s="29"/>
    </row>
    <row r="24" spans="2:9" x14ac:dyDescent="0.25">
      <c r="B24" s="51" t="s">
        <v>138</v>
      </c>
      <c r="C24" s="2" t="s">
        <v>118</v>
      </c>
      <c r="D24" s="31">
        <v>2020</v>
      </c>
      <c r="E24" s="31" t="s">
        <v>119</v>
      </c>
      <c r="F24" s="2" t="s">
        <v>117</v>
      </c>
      <c r="G24" s="32">
        <v>130000</v>
      </c>
      <c r="H24" s="29"/>
      <c r="I24" s="29"/>
    </row>
    <row r="25" spans="2:9" x14ac:dyDescent="0.25">
      <c r="B25" s="51" t="s">
        <v>139</v>
      </c>
      <c r="C25" s="2" t="s">
        <v>115</v>
      </c>
      <c r="D25" s="31">
        <v>2020</v>
      </c>
      <c r="E25" s="31" t="s">
        <v>116</v>
      </c>
      <c r="F25" s="2" t="s">
        <v>114</v>
      </c>
      <c r="G25" s="32">
        <v>75000</v>
      </c>
      <c r="H25" s="29"/>
      <c r="I25" s="29"/>
    </row>
    <row r="26" spans="2:9" x14ac:dyDescent="0.25">
      <c r="B26" s="51" t="s">
        <v>140</v>
      </c>
      <c r="C26" s="2" t="s">
        <v>112</v>
      </c>
      <c r="D26" s="31">
        <v>2020</v>
      </c>
      <c r="E26" s="31" t="s">
        <v>113</v>
      </c>
      <c r="F26" s="2" t="s">
        <v>111</v>
      </c>
      <c r="G26" s="32">
        <v>170000</v>
      </c>
      <c r="H26" s="29"/>
      <c r="I26" s="29"/>
    </row>
    <row r="27" spans="2:9" x14ac:dyDescent="0.25">
      <c r="B27" s="51" t="s">
        <v>141</v>
      </c>
      <c r="C27" s="2" t="s">
        <v>109</v>
      </c>
      <c r="D27" s="31">
        <v>2020</v>
      </c>
      <c r="E27" s="31" t="s">
        <v>110</v>
      </c>
      <c r="F27" s="2" t="s">
        <v>108</v>
      </c>
      <c r="G27" s="32">
        <v>160000</v>
      </c>
      <c r="H27" s="29"/>
      <c r="I27" s="29"/>
    </row>
    <row r="28" spans="2:9" x14ac:dyDescent="0.25">
      <c r="B28" s="51" t="s">
        <v>142</v>
      </c>
      <c r="C28" s="2" t="s">
        <v>106</v>
      </c>
      <c r="D28" s="31">
        <v>2020</v>
      </c>
      <c r="E28" s="31" t="s">
        <v>107</v>
      </c>
      <c r="F28" s="2" t="s">
        <v>105</v>
      </c>
      <c r="G28" s="32">
        <v>250000</v>
      </c>
      <c r="H28" s="29"/>
      <c r="I28" s="29"/>
    </row>
    <row r="29" spans="2:9" x14ac:dyDescent="0.25">
      <c r="B29" s="51" t="s">
        <v>143</v>
      </c>
      <c r="C29" s="2" t="s">
        <v>103</v>
      </c>
      <c r="D29" s="31">
        <v>2020</v>
      </c>
      <c r="E29" s="31" t="s">
        <v>104</v>
      </c>
      <c r="F29" s="2" t="s">
        <v>102</v>
      </c>
      <c r="G29" s="32">
        <v>300000</v>
      </c>
      <c r="H29" s="29"/>
      <c r="I29" s="29"/>
    </row>
    <row r="30" spans="2:9" x14ac:dyDescent="0.25">
      <c r="B30" s="51" t="s">
        <v>144</v>
      </c>
      <c r="C30" s="2" t="s">
        <v>100</v>
      </c>
      <c r="D30" s="31">
        <v>2020</v>
      </c>
      <c r="E30" s="31" t="s">
        <v>101</v>
      </c>
      <c r="F30" s="2" t="s">
        <v>99</v>
      </c>
      <c r="G30" s="32">
        <v>85000</v>
      </c>
      <c r="H30" s="29"/>
      <c r="I30" s="29"/>
    </row>
    <row r="31" spans="2:9" x14ac:dyDescent="0.25">
      <c r="B31" s="51" t="s">
        <v>145</v>
      </c>
      <c r="C31" s="2" t="s">
        <v>97</v>
      </c>
      <c r="D31" s="31">
        <v>2020</v>
      </c>
      <c r="E31" s="31" t="s">
        <v>98</v>
      </c>
      <c r="F31" s="2" t="s">
        <v>96</v>
      </c>
      <c r="G31" s="32">
        <v>90000</v>
      </c>
      <c r="H31" s="29"/>
      <c r="I31" s="29"/>
    </row>
    <row r="32" spans="2:9" x14ac:dyDescent="0.25">
      <c r="B32" s="2" t="s">
        <v>178</v>
      </c>
      <c r="C32" s="2" t="s">
        <v>177</v>
      </c>
      <c r="D32" s="31">
        <v>1980</v>
      </c>
      <c r="E32" s="31" t="s">
        <v>175</v>
      </c>
      <c r="F32" s="32" t="s">
        <v>176</v>
      </c>
      <c r="G32" s="32">
        <v>1000000000</v>
      </c>
      <c r="H32" s="29"/>
      <c r="I32" s="29"/>
    </row>
    <row r="33" spans="2:9" x14ac:dyDescent="0.25">
      <c r="B33" s="2" t="s">
        <v>179</v>
      </c>
      <c r="C33" s="2" t="s">
        <v>171</v>
      </c>
      <c r="D33" s="31">
        <v>2005</v>
      </c>
      <c r="E33" s="31" t="s">
        <v>172</v>
      </c>
      <c r="F33" s="32" t="s">
        <v>150</v>
      </c>
      <c r="G33" s="32">
        <v>2000000000000000</v>
      </c>
      <c r="H33" s="9"/>
      <c r="I33" s="9"/>
    </row>
    <row r="34" spans="2:9" x14ac:dyDescent="0.25">
      <c r="B34" s="2" t="s">
        <v>180</v>
      </c>
      <c r="C34" s="2" t="s">
        <v>168</v>
      </c>
      <c r="D34" s="31">
        <v>2005</v>
      </c>
      <c r="E34" s="31" t="s">
        <v>169</v>
      </c>
      <c r="F34" s="32" t="s">
        <v>150</v>
      </c>
      <c r="G34" s="32">
        <v>10000000000000</v>
      </c>
      <c r="H34" s="9"/>
      <c r="I34" s="9"/>
    </row>
    <row r="35" spans="2:9" x14ac:dyDescent="0.25">
      <c r="B35" s="50" t="s">
        <v>181</v>
      </c>
      <c r="C35" s="2" t="s">
        <v>135</v>
      </c>
      <c r="D35" s="31">
        <v>2020</v>
      </c>
      <c r="E35" s="31" t="s">
        <v>151</v>
      </c>
      <c r="F35" s="2" t="s">
        <v>150</v>
      </c>
      <c r="G35" s="32">
        <v>200000000</v>
      </c>
      <c r="H35" s="9"/>
      <c r="I35" s="9"/>
    </row>
    <row r="36" spans="2:9" x14ac:dyDescent="0.25">
      <c r="B36" s="50" t="s">
        <v>182</v>
      </c>
      <c r="C36" s="2" t="s">
        <v>147</v>
      </c>
      <c r="D36" s="31">
        <v>2020</v>
      </c>
      <c r="E36" s="31" t="s">
        <v>148</v>
      </c>
      <c r="F36" s="2" t="s">
        <v>146</v>
      </c>
      <c r="G36" s="32">
        <v>700000000000</v>
      </c>
      <c r="H36" s="9"/>
      <c r="I36" s="9"/>
    </row>
    <row r="37" spans="2:9" x14ac:dyDescent="0.25">
      <c r="B37" s="51" t="s">
        <v>183</v>
      </c>
      <c r="C37" s="2" t="s">
        <v>124</v>
      </c>
      <c r="D37" s="31">
        <v>2020</v>
      </c>
      <c r="E37" s="31" t="s">
        <v>125</v>
      </c>
      <c r="F37" s="2" t="s">
        <v>123</v>
      </c>
      <c r="G37" s="32">
        <v>220000</v>
      </c>
      <c r="H37" s="9"/>
      <c r="I37" s="9"/>
    </row>
    <row r="38" spans="2:9" x14ac:dyDescent="0.25">
      <c r="B38" s="51" t="s">
        <v>184</v>
      </c>
      <c r="C38" s="2" t="s">
        <v>121</v>
      </c>
      <c r="D38" s="31">
        <v>2020</v>
      </c>
      <c r="E38" s="31" t="s">
        <v>122</v>
      </c>
      <c r="F38" s="2" t="s">
        <v>120</v>
      </c>
      <c r="G38" s="32">
        <v>240000</v>
      </c>
      <c r="H38" s="9"/>
      <c r="I38" s="9"/>
    </row>
    <row r="39" spans="2:9" x14ac:dyDescent="0.25">
      <c r="B39" s="51" t="s">
        <v>185</v>
      </c>
      <c r="C39" s="2" t="s">
        <v>118</v>
      </c>
      <c r="D39" s="31">
        <v>2020</v>
      </c>
      <c r="E39" s="31" t="s">
        <v>119</v>
      </c>
      <c r="F39" s="2" t="s">
        <v>117</v>
      </c>
      <c r="G39" s="32">
        <v>130000</v>
      </c>
      <c r="H39" s="9"/>
      <c r="I39" s="9"/>
    </row>
    <row r="40" spans="2:9" x14ac:dyDescent="0.25">
      <c r="B40" s="51" t="s">
        <v>186</v>
      </c>
      <c r="C40" s="2" t="s">
        <v>115</v>
      </c>
      <c r="D40" s="31">
        <v>2020</v>
      </c>
      <c r="E40" s="31" t="s">
        <v>116</v>
      </c>
      <c r="F40" s="2" t="s">
        <v>114</v>
      </c>
      <c r="G40" s="32">
        <v>75000</v>
      </c>
      <c r="H40" s="9"/>
      <c r="I40" s="9"/>
    </row>
    <row r="41" spans="2:9" x14ac:dyDescent="0.25">
      <c r="B41" s="51" t="s">
        <v>187</v>
      </c>
      <c r="C41" s="2" t="s">
        <v>112</v>
      </c>
      <c r="D41" s="31">
        <v>2020</v>
      </c>
      <c r="E41" s="31" t="s">
        <v>113</v>
      </c>
      <c r="F41" s="2" t="s">
        <v>111</v>
      </c>
      <c r="G41" s="32">
        <v>170000</v>
      </c>
      <c r="H41" s="9"/>
      <c r="I41" s="9"/>
    </row>
    <row r="42" spans="2:9" x14ac:dyDescent="0.25">
      <c r="B42" s="51" t="s">
        <v>188</v>
      </c>
      <c r="C42" s="2" t="s">
        <v>109</v>
      </c>
      <c r="D42" s="31">
        <v>2020</v>
      </c>
      <c r="E42" s="31" t="s">
        <v>110</v>
      </c>
      <c r="F42" s="2" t="s">
        <v>108</v>
      </c>
      <c r="G42" s="32">
        <v>160000</v>
      </c>
      <c r="H42" s="9"/>
      <c r="I42" s="9"/>
    </row>
    <row r="43" spans="2:9" x14ac:dyDescent="0.25">
      <c r="B43" s="51" t="s">
        <v>189</v>
      </c>
      <c r="C43" s="2" t="s">
        <v>106</v>
      </c>
      <c r="D43" s="31">
        <v>2020</v>
      </c>
      <c r="E43" s="31" t="s">
        <v>107</v>
      </c>
      <c r="F43" s="2" t="s">
        <v>105</v>
      </c>
      <c r="G43" s="32">
        <v>250000</v>
      </c>
      <c r="H43" s="9"/>
      <c r="I43" s="9"/>
    </row>
    <row r="44" spans="2:9" x14ac:dyDescent="0.25">
      <c r="B44" s="51" t="s">
        <v>190</v>
      </c>
      <c r="C44" s="2" t="s">
        <v>103</v>
      </c>
      <c r="D44" s="31">
        <v>2020</v>
      </c>
      <c r="E44" s="31" t="s">
        <v>104</v>
      </c>
      <c r="F44" s="2" t="s">
        <v>102</v>
      </c>
      <c r="G44" s="32">
        <v>300000</v>
      </c>
      <c r="H44" s="9"/>
      <c r="I44" s="9"/>
    </row>
    <row r="45" spans="2:9" x14ac:dyDescent="0.25">
      <c r="B45" s="51" t="s">
        <v>191</v>
      </c>
      <c r="C45" s="2" t="s">
        <v>100</v>
      </c>
      <c r="D45" s="31">
        <v>2020</v>
      </c>
      <c r="E45" s="31" t="s">
        <v>101</v>
      </c>
      <c r="F45" s="2" t="s">
        <v>99</v>
      </c>
      <c r="G45" s="32">
        <v>85000</v>
      </c>
      <c r="H45" s="9"/>
      <c r="I45" s="9"/>
    </row>
    <row r="46" spans="2:9" x14ac:dyDescent="0.25">
      <c r="B46" s="51" t="s">
        <v>192</v>
      </c>
      <c r="C46" s="2" t="s">
        <v>97</v>
      </c>
      <c r="D46" s="31">
        <v>2020</v>
      </c>
      <c r="E46" s="31" t="s">
        <v>98</v>
      </c>
      <c r="F46" s="2" t="s">
        <v>96</v>
      </c>
      <c r="G46" s="32">
        <v>90000</v>
      </c>
      <c r="H46" s="9"/>
      <c r="I46" s="9"/>
    </row>
    <row r="47" spans="2:9" x14ac:dyDescent="0.25">
      <c r="B47" s="2" t="s">
        <v>193</v>
      </c>
      <c r="C47" s="2" t="s">
        <v>282</v>
      </c>
      <c r="D47" s="31">
        <v>1980</v>
      </c>
      <c r="E47" s="31" t="s">
        <v>175</v>
      </c>
      <c r="F47" s="32" t="s">
        <v>176</v>
      </c>
      <c r="G47" s="32">
        <v>1000000000</v>
      </c>
      <c r="H47" s="9"/>
      <c r="I47" s="9"/>
    </row>
    <row r="48" spans="2:9" x14ac:dyDescent="0.25">
      <c r="B48" s="2" t="s">
        <v>194</v>
      </c>
      <c r="C48" s="2" t="s">
        <v>283</v>
      </c>
      <c r="D48" s="31">
        <v>2005</v>
      </c>
      <c r="E48" s="31" t="s">
        <v>172</v>
      </c>
      <c r="F48" s="32" t="s">
        <v>150</v>
      </c>
      <c r="G48" s="32">
        <v>2000000000000000</v>
      </c>
      <c r="H48" s="9"/>
      <c r="I48" s="9"/>
    </row>
    <row r="49" spans="2:9" x14ac:dyDescent="0.25">
      <c r="B49" s="2" t="s">
        <v>195</v>
      </c>
      <c r="C49" s="2" t="s">
        <v>284</v>
      </c>
      <c r="D49" s="31">
        <v>2005</v>
      </c>
      <c r="E49" s="31" t="s">
        <v>169</v>
      </c>
      <c r="F49" s="32" t="s">
        <v>150</v>
      </c>
      <c r="G49" s="32">
        <v>10000000000000</v>
      </c>
      <c r="H49" s="9"/>
      <c r="I49" s="9"/>
    </row>
    <row r="50" spans="2:9" x14ac:dyDescent="0.25">
      <c r="B50" s="50" t="s">
        <v>196</v>
      </c>
      <c r="C50" s="2" t="s">
        <v>285</v>
      </c>
      <c r="D50" s="31">
        <v>2020</v>
      </c>
      <c r="E50" s="31" t="s">
        <v>151</v>
      </c>
      <c r="F50" s="2" t="s">
        <v>150</v>
      </c>
      <c r="G50" s="32">
        <v>200000000</v>
      </c>
      <c r="H50" s="9"/>
      <c r="I50" s="9"/>
    </row>
    <row r="51" spans="2:9" x14ac:dyDescent="0.25">
      <c r="B51" s="50" t="s">
        <v>197</v>
      </c>
      <c r="C51" s="2" t="s">
        <v>286</v>
      </c>
      <c r="D51" s="31">
        <v>2020</v>
      </c>
      <c r="E51" s="31" t="s">
        <v>148</v>
      </c>
      <c r="F51" s="2" t="s">
        <v>146</v>
      </c>
      <c r="G51" s="32">
        <v>700000000000</v>
      </c>
      <c r="H51" s="9"/>
      <c r="I51" s="9"/>
    </row>
    <row r="52" spans="2:9" x14ac:dyDescent="0.25">
      <c r="B52" s="51" t="s">
        <v>202</v>
      </c>
      <c r="C52" s="2" t="s">
        <v>287</v>
      </c>
      <c r="D52" s="31">
        <v>2020</v>
      </c>
      <c r="E52" s="31" t="s">
        <v>125</v>
      </c>
      <c r="F52" s="2" t="s">
        <v>123</v>
      </c>
      <c r="G52" s="32">
        <v>220000</v>
      </c>
      <c r="H52" s="9"/>
      <c r="I52" s="9"/>
    </row>
    <row r="53" spans="2:9" x14ac:dyDescent="0.25">
      <c r="B53" s="51" t="s">
        <v>222</v>
      </c>
      <c r="C53" s="2" t="s">
        <v>121</v>
      </c>
      <c r="D53" s="31">
        <v>2020</v>
      </c>
      <c r="E53" s="31" t="s">
        <v>122</v>
      </c>
      <c r="F53" s="2" t="s">
        <v>120</v>
      </c>
      <c r="G53" s="32">
        <v>240000</v>
      </c>
      <c r="H53" s="9"/>
      <c r="I53" s="9"/>
    </row>
    <row r="54" spans="2:9" x14ac:dyDescent="0.25">
      <c r="B54" s="51" t="s">
        <v>201</v>
      </c>
      <c r="C54" s="2" t="s">
        <v>118</v>
      </c>
      <c r="D54" s="31">
        <v>2020</v>
      </c>
      <c r="E54" s="31" t="s">
        <v>119</v>
      </c>
      <c r="F54" s="2" t="s">
        <v>117</v>
      </c>
      <c r="G54" s="32">
        <v>130000</v>
      </c>
      <c r="H54" s="9"/>
      <c r="I54" s="9"/>
    </row>
    <row r="55" spans="2:9" x14ac:dyDescent="0.25">
      <c r="B55" s="51" t="s">
        <v>200</v>
      </c>
      <c r="C55" s="2" t="s">
        <v>115</v>
      </c>
      <c r="D55" s="31">
        <v>2020</v>
      </c>
      <c r="E55" s="31" t="s">
        <v>116</v>
      </c>
      <c r="F55" s="2" t="s">
        <v>114</v>
      </c>
      <c r="G55" s="32">
        <v>75000</v>
      </c>
      <c r="H55" s="9"/>
      <c r="I55" s="9"/>
    </row>
    <row r="56" spans="2:9" x14ac:dyDescent="0.25">
      <c r="B56" s="51" t="s">
        <v>198</v>
      </c>
      <c r="C56" s="2" t="s">
        <v>112</v>
      </c>
      <c r="D56" s="31">
        <v>2020</v>
      </c>
      <c r="E56" s="31" t="s">
        <v>113</v>
      </c>
      <c r="F56" s="2" t="s">
        <v>111</v>
      </c>
      <c r="G56" s="32">
        <v>170000</v>
      </c>
      <c r="H56" s="9"/>
      <c r="I56" s="9"/>
    </row>
    <row r="57" spans="2:9" x14ac:dyDescent="0.25">
      <c r="B57" s="51" t="s">
        <v>199</v>
      </c>
      <c r="C57" s="2" t="s">
        <v>109</v>
      </c>
      <c r="D57" s="31">
        <v>2020</v>
      </c>
      <c r="E57" s="31" t="s">
        <v>110</v>
      </c>
      <c r="F57" s="2" t="s">
        <v>108</v>
      </c>
      <c r="G57" s="32">
        <v>160000</v>
      </c>
      <c r="H57" s="9"/>
      <c r="I57" s="9"/>
    </row>
    <row r="58" spans="2:9" x14ac:dyDescent="0.25">
      <c r="B58" s="51" t="s">
        <v>203</v>
      </c>
      <c r="C58" s="2" t="s">
        <v>106</v>
      </c>
      <c r="D58" s="31">
        <v>2020</v>
      </c>
      <c r="E58" s="31" t="s">
        <v>107</v>
      </c>
      <c r="F58" s="2" t="s">
        <v>105</v>
      </c>
      <c r="G58" s="32">
        <v>250000</v>
      </c>
      <c r="H58" s="9"/>
      <c r="I58" s="9"/>
    </row>
    <row r="59" spans="2:9" x14ac:dyDescent="0.25">
      <c r="B59" s="51" t="s">
        <v>204</v>
      </c>
      <c r="C59" s="2" t="s">
        <v>103</v>
      </c>
      <c r="D59" s="31">
        <v>2020</v>
      </c>
      <c r="E59" s="31" t="s">
        <v>104</v>
      </c>
      <c r="F59" s="2" t="s">
        <v>102</v>
      </c>
      <c r="G59" s="32">
        <v>300000</v>
      </c>
      <c r="H59" s="9"/>
      <c r="I59" s="9"/>
    </row>
    <row r="60" spans="2:9" x14ac:dyDescent="0.25">
      <c r="B60" s="51" t="s">
        <v>205</v>
      </c>
      <c r="C60" s="2" t="s">
        <v>100</v>
      </c>
      <c r="D60" s="31">
        <v>2020</v>
      </c>
      <c r="E60" s="31" t="s">
        <v>101</v>
      </c>
      <c r="F60" s="2" t="s">
        <v>99</v>
      </c>
      <c r="G60" s="32">
        <v>85000</v>
      </c>
      <c r="H60" s="9"/>
      <c r="I60" s="9"/>
    </row>
    <row r="61" spans="2:9" x14ac:dyDescent="0.25">
      <c r="B61" s="51" t="s">
        <v>207</v>
      </c>
      <c r="C61" s="2" t="s">
        <v>97</v>
      </c>
      <c r="D61" s="31">
        <v>2020</v>
      </c>
      <c r="E61" s="31" t="s">
        <v>98</v>
      </c>
      <c r="F61" s="2" t="s">
        <v>96</v>
      </c>
      <c r="G61" s="32">
        <v>90000</v>
      </c>
      <c r="H61" s="9"/>
      <c r="I61" s="9"/>
    </row>
    <row r="62" spans="2:9" x14ac:dyDescent="0.25">
      <c r="B62" s="2" t="s">
        <v>206</v>
      </c>
      <c r="C62" s="2" t="s">
        <v>177</v>
      </c>
      <c r="D62" s="31">
        <v>1980</v>
      </c>
      <c r="E62" s="31" t="s">
        <v>175</v>
      </c>
      <c r="F62" s="32" t="s">
        <v>176</v>
      </c>
      <c r="G62" s="32">
        <v>1000000000</v>
      </c>
      <c r="H62" s="9"/>
      <c r="I62" s="9"/>
    </row>
    <row r="63" spans="2:9" x14ac:dyDescent="0.25">
      <c r="B63" s="2" t="s">
        <v>208</v>
      </c>
      <c r="C63" s="2" t="s">
        <v>288</v>
      </c>
      <c r="D63" s="31">
        <v>2005</v>
      </c>
      <c r="E63" s="31" t="s">
        <v>172</v>
      </c>
      <c r="F63" s="32" t="s">
        <v>150</v>
      </c>
      <c r="G63" s="32">
        <v>2000000000000000</v>
      </c>
      <c r="H63" s="9"/>
      <c r="I63" s="9"/>
    </row>
    <row r="64" spans="2:9" x14ac:dyDescent="0.25">
      <c r="B64" s="2" t="s">
        <v>209</v>
      </c>
      <c r="C64" s="2" t="s">
        <v>289</v>
      </c>
      <c r="D64" s="31">
        <v>2005</v>
      </c>
      <c r="E64" s="31" t="s">
        <v>169</v>
      </c>
      <c r="F64" s="32" t="s">
        <v>150</v>
      </c>
      <c r="G64" s="32">
        <v>10000000000000</v>
      </c>
      <c r="H64" s="9"/>
      <c r="I64" s="9"/>
    </row>
    <row r="65" spans="2:9" x14ac:dyDescent="0.25">
      <c r="B65" s="50" t="s">
        <v>210</v>
      </c>
      <c r="C65" s="2" t="s">
        <v>290</v>
      </c>
      <c r="D65" s="31">
        <v>2020</v>
      </c>
      <c r="E65" s="31" t="s">
        <v>151</v>
      </c>
      <c r="F65" s="2" t="s">
        <v>150</v>
      </c>
      <c r="G65" s="32">
        <v>200000000</v>
      </c>
      <c r="H65" s="9"/>
      <c r="I65" s="9"/>
    </row>
    <row r="66" spans="2:9" x14ac:dyDescent="0.25">
      <c r="B66" s="50" t="s">
        <v>211</v>
      </c>
      <c r="C66" s="2" t="s">
        <v>147</v>
      </c>
      <c r="D66" s="31">
        <v>2020</v>
      </c>
      <c r="E66" s="31" t="s">
        <v>148</v>
      </c>
      <c r="F66" s="2" t="s">
        <v>146</v>
      </c>
      <c r="G66" s="32">
        <v>700000000000</v>
      </c>
      <c r="H66" s="9"/>
      <c r="I66" s="9"/>
    </row>
    <row r="67" spans="2:9" x14ac:dyDescent="0.25">
      <c r="B67" s="51" t="s">
        <v>212</v>
      </c>
      <c r="C67" s="2" t="s">
        <v>124</v>
      </c>
      <c r="D67" s="31">
        <v>2020</v>
      </c>
      <c r="E67" s="31" t="s">
        <v>125</v>
      </c>
      <c r="F67" s="2" t="s">
        <v>123</v>
      </c>
      <c r="G67" s="32">
        <v>220000</v>
      </c>
      <c r="H67" s="9"/>
      <c r="I67" s="9"/>
    </row>
    <row r="68" spans="2:9" x14ac:dyDescent="0.25">
      <c r="B68" s="51" t="s">
        <v>213</v>
      </c>
      <c r="C68" s="2" t="s">
        <v>121</v>
      </c>
      <c r="D68" s="31">
        <v>2020</v>
      </c>
      <c r="E68" s="31" t="s">
        <v>122</v>
      </c>
      <c r="F68" s="2" t="s">
        <v>120</v>
      </c>
      <c r="G68" s="32">
        <v>240000</v>
      </c>
      <c r="H68" s="9"/>
      <c r="I68" s="9"/>
    </row>
    <row r="69" spans="2:9" x14ac:dyDescent="0.25">
      <c r="B69" s="51" t="s">
        <v>214</v>
      </c>
      <c r="C69" s="2" t="s">
        <v>118</v>
      </c>
      <c r="D69" s="31">
        <v>2020</v>
      </c>
      <c r="E69" s="31" t="s">
        <v>119</v>
      </c>
      <c r="F69" s="2" t="s">
        <v>117</v>
      </c>
      <c r="G69" s="32">
        <v>130000</v>
      </c>
      <c r="H69" s="9"/>
      <c r="I69" s="9"/>
    </row>
    <row r="70" spans="2:9" x14ac:dyDescent="0.25">
      <c r="B70" s="51" t="s">
        <v>215</v>
      </c>
      <c r="C70" s="2" t="s">
        <v>115</v>
      </c>
      <c r="D70" s="31">
        <v>2020</v>
      </c>
      <c r="E70" s="31" t="s">
        <v>116</v>
      </c>
      <c r="F70" s="2" t="s">
        <v>114</v>
      </c>
      <c r="G70" s="32">
        <v>75000</v>
      </c>
      <c r="H70" s="9"/>
      <c r="I70" s="9"/>
    </row>
    <row r="71" spans="2:9" x14ac:dyDescent="0.25">
      <c r="B71" s="51" t="s">
        <v>216</v>
      </c>
      <c r="C71" s="2" t="s">
        <v>112</v>
      </c>
      <c r="D71" s="31">
        <v>2020</v>
      </c>
      <c r="E71" s="31" t="s">
        <v>113</v>
      </c>
      <c r="F71" s="2" t="s">
        <v>111</v>
      </c>
      <c r="G71" s="32">
        <v>170000</v>
      </c>
      <c r="H71" s="9"/>
      <c r="I71" s="9"/>
    </row>
    <row r="72" spans="2:9" x14ac:dyDescent="0.25">
      <c r="B72" s="51" t="s">
        <v>217</v>
      </c>
      <c r="C72" s="2" t="s">
        <v>109</v>
      </c>
      <c r="D72" s="31">
        <v>2020</v>
      </c>
      <c r="E72" s="31" t="s">
        <v>110</v>
      </c>
      <c r="F72" s="2" t="s">
        <v>108</v>
      </c>
      <c r="G72" s="32">
        <v>160000</v>
      </c>
      <c r="H72" s="9"/>
      <c r="I72" s="9"/>
    </row>
    <row r="73" spans="2:9" x14ac:dyDescent="0.25">
      <c r="B73" s="51" t="s">
        <v>218</v>
      </c>
      <c r="C73" s="2" t="s">
        <v>106</v>
      </c>
      <c r="D73" s="31">
        <v>2020</v>
      </c>
      <c r="E73" s="31" t="s">
        <v>107</v>
      </c>
      <c r="F73" s="2" t="s">
        <v>105</v>
      </c>
      <c r="G73" s="32">
        <v>250000</v>
      </c>
      <c r="H73" s="9"/>
      <c r="I73" s="9"/>
    </row>
    <row r="74" spans="2:9" x14ac:dyDescent="0.25">
      <c r="B74" s="51" t="s">
        <v>219</v>
      </c>
      <c r="C74" s="2" t="s">
        <v>291</v>
      </c>
      <c r="D74" s="31">
        <v>2020</v>
      </c>
      <c r="E74" s="31" t="s">
        <v>104</v>
      </c>
      <c r="F74" s="2" t="s">
        <v>102</v>
      </c>
      <c r="G74" s="32">
        <v>300000</v>
      </c>
      <c r="H74" s="9"/>
      <c r="I74" s="9"/>
    </row>
    <row r="75" spans="2:9" x14ac:dyDescent="0.25">
      <c r="B75" s="51" t="s">
        <v>220</v>
      </c>
      <c r="C75" s="2" t="s">
        <v>100</v>
      </c>
      <c r="D75" s="31">
        <v>2020</v>
      </c>
      <c r="E75" s="31" t="s">
        <v>101</v>
      </c>
      <c r="F75" s="2" t="s">
        <v>99</v>
      </c>
      <c r="G75" s="32">
        <v>85000</v>
      </c>
      <c r="H75" s="9"/>
      <c r="I75" s="9"/>
    </row>
    <row r="76" spans="2:9" x14ac:dyDescent="0.25">
      <c r="B76" s="51" t="s">
        <v>221</v>
      </c>
      <c r="C76" s="2" t="s">
        <v>97</v>
      </c>
      <c r="D76" s="31">
        <v>2020</v>
      </c>
      <c r="E76" s="31" t="s">
        <v>98</v>
      </c>
      <c r="F76" s="2" t="s">
        <v>96</v>
      </c>
      <c r="G76" s="32">
        <v>90000</v>
      </c>
      <c r="H76" s="9"/>
      <c r="I76" s="9"/>
    </row>
    <row r="77" spans="2:9" x14ac:dyDescent="0.25">
      <c r="B77" s="2" t="s">
        <v>223</v>
      </c>
      <c r="C77" s="2" t="s">
        <v>292</v>
      </c>
      <c r="D77" s="31">
        <v>1980</v>
      </c>
      <c r="E77" s="31" t="s">
        <v>175</v>
      </c>
      <c r="F77" s="32" t="s">
        <v>176</v>
      </c>
      <c r="G77" s="32">
        <v>1000000000</v>
      </c>
      <c r="H77" s="9"/>
      <c r="I77" s="9"/>
    </row>
    <row r="78" spans="2:9" x14ac:dyDescent="0.25">
      <c r="B78" s="2" t="s">
        <v>224</v>
      </c>
      <c r="C78" s="2" t="s">
        <v>293</v>
      </c>
      <c r="D78" s="31">
        <v>2005</v>
      </c>
      <c r="E78" s="31" t="s">
        <v>172</v>
      </c>
      <c r="F78" s="32" t="s">
        <v>150</v>
      </c>
      <c r="G78" s="32">
        <v>2000000000000000</v>
      </c>
      <c r="H78" s="9"/>
      <c r="I78" s="9"/>
    </row>
    <row r="79" spans="2:9" x14ac:dyDescent="0.25">
      <c r="B79" s="2" t="s">
        <v>225</v>
      </c>
      <c r="C79" s="2" t="s">
        <v>294</v>
      </c>
      <c r="D79" s="31">
        <v>2005</v>
      </c>
      <c r="E79" s="31" t="s">
        <v>169</v>
      </c>
      <c r="F79" s="32" t="s">
        <v>150</v>
      </c>
      <c r="G79" s="32">
        <v>10000000000000</v>
      </c>
      <c r="H79" s="9"/>
      <c r="I79" s="9"/>
    </row>
    <row r="80" spans="2:9" x14ac:dyDescent="0.25">
      <c r="B80" s="50" t="s">
        <v>226</v>
      </c>
      <c r="C80" s="2" t="s">
        <v>295</v>
      </c>
      <c r="D80" s="31">
        <v>2020</v>
      </c>
      <c r="E80" s="31" t="s">
        <v>151</v>
      </c>
      <c r="F80" s="2" t="s">
        <v>150</v>
      </c>
      <c r="G80" s="32">
        <v>200000000</v>
      </c>
      <c r="H80" s="9"/>
      <c r="I80" s="9"/>
    </row>
    <row r="81" spans="2:9" x14ac:dyDescent="0.25">
      <c r="B81" s="50" t="s">
        <v>227</v>
      </c>
      <c r="C81" s="2" t="s">
        <v>147</v>
      </c>
      <c r="D81" s="31">
        <v>2020</v>
      </c>
      <c r="E81" s="31" t="s">
        <v>148</v>
      </c>
      <c r="F81" s="2" t="s">
        <v>146</v>
      </c>
      <c r="G81" s="32">
        <v>700000000000</v>
      </c>
      <c r="H81" s="9"/>
      <c r="I81" s="9"/>
    </row>
    <row r="82" spans="2:9" x14ac:dyDescent="0.25">
      <c r="B82" s="51" t="s">
        <v>228</v>
      </c>
      <c r="C82" s="2" t="s">
        <v>124</v>
      </c>
      <c r="D82" s="31">
        <v>2020</v>
      </c>
      <c r="E82" s="31" t="s">
        <v>125</v>
      </c>
      <c r="F82" s="2" t="s">
        <v>123</v>
      </c>
      <c r="G82" s="32">
        <v>220000</v>
      </c>
      <c r="H82" s="9"/>
      <c r="I82" s="9"/>
    </row>
    <row r="83" spans="2:9" x14ac:dyDescent="0.25">
      <c r="B83" s="51" t="s">
        <v>229</v>
      </c>
      <c r="C83" s="2" t="s">
        <v>121</v>
      </c>
      <c r="D83" s="31">
        <v>2020</v>
      </c>
      <c r="E83" s="31" t="s">
        <v>122</v>
      </c>
      <c r="F83" s="2" t="s">
        <v>120</v>
      </c>
      <c r="G83" s="32">
        <v>240000</v>
      </c>
      <c r="H83" s="9"/>
      <c r="I83" s="9"/>
    </row>
    <row r="84" spans="2:9" x14ac:dyDescent="0.25">
      <c r="B84" s="51" t="s">
        <v>230</v>
      </c>
      <c r="C84" s="2" t="s">
        <v>118</v>
      </c>
      <c r="D84" s="31">
        <v>2020</v>
      </c>
      <c r="E84" s="31" t="s">
        <v>119</v>
      </c>
      <c r="F84" s="2" t="s">
        <v>117</v>
      </c>
      <c r="G84" s="32">
        <v>130000</v>
      </c>
      <c r="H84" s="9"/>
      <c r="I84" s="9"/>
    </row>
    <row r="85" spans="2:9" x14ac:dyDescent="0.25">
      <c r="B85" s="51" t="s">
        <v>281</v>
      </c>
      <c r="C85" s="2" t="s">
        <v>115</v>
      </c>
      <c r="D85" s="31">
        <v>2020</v>
      </c>
      <c r="E85" s="31" t="s">
        <v>116</v>
      </c>
      <c r="F85" s="2" t="s">
        <v>114</v>
      </c>
      <c r="G85" s="32">
        <v>75000</v>
      </c>
      <c r="H85" s="9"/>
      <c r="I85" s="9"/>
    </row>
    <row r="86" spans="2:9" x14ac:dyDescent="0.25">
      <c r="B86" s="51" t="s">
        <v>231</v>
      </c>
      <c r="C86" s="2" t="s">
        <v>112</v>
      </c>
      <c r="D86" s="31">
        <v>2020</v>
      </c>
      <c r="E86" s="31" t="s">
        <v>113</v>
      </c>
      <c r="F86" s="2" t="s">
        <v>111</v>
      </c>
      <c r="G86" s="32">
        <v>170000</v>
      </c>
      <c r="H86" s="9"/>
      <c r="I86" s="9"/>
    </row>
    <row r="87" spans="2:9" x14ac:dyDescent="0.25">
      <c r="B87" s="51" t="s">
        <v>232</v>
      </c>
      <c r="C87" s="2" t="s">
        <v>109</v>
      </c>
      <c r="D87" s="31">
        <v>2020</v>
      </c>
      <c r="E87" s="31" t="s">
        <v>110</v>
      </c>
      <c r="F87" s="2" t="s">
        <v>108</v>
      </c>
      <c r="G87" s="32">
        <v>160000</v>
      </c>
      <c r="H87" s="9"/>
      <c r="I87" s="9"/>
    </row>
    <row r="88" spans="2:9" x14ac:dyDescent="0.25">
      <c r="B88" s="51" t="s">
        <v>280</v>
      </c>
      <c r="C88" s="2" t="s">
        <v>106</v>
      </c>
      <c r="D88" s="31">
        <v>2020</v>
      </c>
      <c r="E88" s="31" t="s">
        <v>107</v>
      </c>
      <c r="F88" s="2" t="s">
        <v>105</v>
      </c>
      <c r="G88" s="32">
        <v>250000</v>
      </c>
      <c r="H88" s="9"/>
      <c r="I88" s="9"/>
    </row>
    <row r="89" spans="2:9" x14ac:dyDescent="0.25">
      <c r="B89" s="51" t="s">
        <v>233</v>
      </c>
      <c r="C89" s="2" t="s">
        <v>296</v>
      </c>
      <c r="D89" s="31">
        <v>2020</v>
      </c>
      <c r="E89" s="31" t="s">
        <v>104</v>
      </c>
      <c r="F89" s="2" t="s">
        <v>102</v>
      </c>
      <c r="G89" s="32">
        <v>300000</v>
      </c>
      <c r="H89" s="9"/>
      <c r="I89" s="9"/>
    </row>
    <row r="90" spans="2:9" x14ac:dyDescent="0.25">
      <c r="B90" s="51" t="s">
        <v>234</v>
      </c>
      <c r="C90" s="2" t="s">
        <v>100</v>
      </c>
      <c r="D90" s="31">
        <v>2020</v>
      </c>
      <c r="E90" s="31" t="s">
        <v>101</v>
      </c>
      <c r="F90" s="2" t="s">
        <v>99</v>
      </c>
      <c r="G90" s="32">
        <v>85000</v>
      </c>
      <c r="H90" s="9"/>
      <c r="I90" s="9"/>
    </row>
    <row r="91" spans="2:9" x14ac:dyDescent="0.25">
      <c r="B91" s="51" t="s">
        <v>235</v>
      </c>
      <c r="C91" s="2" t="s">
        <v>97</v>
      </c>
      <c r="D91" s="31">
        <v>2020</v>
      </c>
      <c r="E91" s="31" t="s">
        <v>98</v>
      </c>
      <c r="F91" s="2" t="s">
        <v>96</v>
      </c>
      <c r="G91" s="32">
        <v>90000</v>
      </c>
      <c r="H91" s="9"/>
      <c r="I91" s="9"/>
    </row>
    <row r="92" spans="2:9" x14ac:dyDescent="0.25">
      <c r="B92" s="2" t="s">
        <v>236</v>
      </c>
      <c r="C92" s="2" t="s">
        <v>297</v>
      </c>
      <c r="D92" s="31">
        <v>1980</v>
      </c>
      <c r="E92" s="31" t="s">
        <v>175</v>
      </c>
      <c r="F92" s="32" t="s">
        <v>176</v>
      </c>
      <c r="G92" s="32">
        <v>1000000000</v>
      </c>
      <c r="H92" s="9"/>
      <c r="I92" s="9"/>
    </row>
    <row r="93" spans="2:9" x14ac:dyDescent="0.25">
      <c r="B93" s="2" t="s">
        <v>237</v>
      </c>
      <c r="C93" s="2" t="s">
        <v>298</v>
      </c>
      <c r="D93" s="31">
        <v>2005</v>
      </c>
      <c r="E93" s="31" t="s">
        <v>172</v>
      </c>
      <c r="F93" s="32" t="s">
        <v>150</v>
      </c>
      <c r="G93" s="32">
        <v>2000000000000000</v>
      </c>
      <c r="H93" s="9"/>
      <c r="I93" s="9"/>
    </row>
    <row r="94" spans="2:9" x14ac:dyDescent="0.25">
      <c r="B94" s="2" t="s">
        <v>238</v>
      </c>
      <c r="C94" s="2" t="s">
        <v>299</v>
      </c>
      <c r="D94" s="31">
        <v>2005</v>
      </c>
      <c r="E94" s="31" t="s">
        <v>169</v>
      </c>
      <c r="F94" s="32" t="s">
        <v>300</v>
      </c>
      <c r="G94" s="32">
        <v>10000000000000</v>
      </c>
      <c r="H94" s="9"/>
      <c r="I94" s="9"/>
    </row>
    <row r="95" spans="2:9" x14ac:dyDescent="0.25">
      <c r="B95" s="50" t="s">
        <v>239</v>
      </c>
      <c r="C95" s="2" t="s">
        <v>301</v>
      </c>
      <c r="D95" s="31">
        <v>2020</v>
      </c>
      <c r="E95" s="31" t="s">
        <v>151</v>
      </c>
      <c r="F95" s="2" t="s">
        <v>300</v>
      </c>
      <c r="G95" s="32">
        <v>200000000</v>
      </c>
      <c r="H95" s="9"/>
      <c r="I95" s="9"/>
    </row>
    <row r="96" spans="2:9" x14ac:dyDescent="0.25">
      <c r="B96" s="50" t="s">
        <v>240</v>
      </c>
      <c r="C96" s="2" t="s">
        <v>147</v>
      </c>
      <c r="D96" s="31">
        <v>2020</v>
      </c>
      <c r="E96" s="31" t="s">
        <v>148</v>
      </c>
      <c r="F96" s="2" t="s">
        <v>146</v>
      </c>
      <c r="G96" s="32">
        <v>700000000000</v>
      </c>
      <c r="H96" s="9"/>
      <c r="I96" s="9"/>
    </row>
    <row r="97" spans="2:9" x14ac:dyDescent="0.25">
      <c r="B97" s="51" t="s">
        <v>241</v>
      </c>
      <c r="C97" s="2" t="s">
        <v>124</v>
      </c>
      <c r="D97" s="31">
        <v>2020</v>
      </c>
      <c r="E97" s="31" t="s">
        <v>125</v>
      </c>
      <c r="F97" s="2" t="s">
        <v>123</v>
      </c>
      <c r="G97" s="32">
        <v>220000</v>
      </c>
      <c r="H97" s="9"/>
      <c r="I97" s="9"/>
    </row>
    <row r="98" spans="2:9" x14ac:dyDescent="0.25">
      <c r="B98" s="51" t="s">
        <v>242</v>
      </c>
      <c r="C98" s="2" t="s">
        <v>121</v>
      </c>
      <c r="D98" s="31">
        <v>2020</v>
      </c>
      <c r="E98" s="31" t="s">
        <v>122</v>
      </c>
      <c r="F98" s="2" t="s">
        <v>120</v>
      </c>
      <c r="G98" s="32">
        <v>240000</v>
      </c>
      <c r="H98" s="9"/>
      <c r="I98" s="9"/>
    </row>
    <row r="99" spans="2:9" x14ac:dyDescent="0.25">
      <c r="B99" s="51" t="s">
        <v>243</v>
      </c>
      <c r="C99" s="2" t="s">
        <v>118</v>
      </c>
      <c r="D99" s="31">
        <v>2020</v>
      </c>
      <c r="E99" s="31" t="s">
        <v>119</v>
      </c>
      <c r="F99" s="2" t="s">
        <v>117</v>
      </c>
      <c r="G99" s="32">
        <v>130000</v>
      </c>
      <c r="H99" s="9"/>
      <c r="I99" s="9"/>
    </row>
    <row r="100" spans="2:9" x14ac:dyDescent="0.25">
      <c r="B100" s="51" t="s">
        <v>244</v>
      </c>
      <c r="C100" s="2" t="s">
        <v>115</v>
      </c>
      <c r="D100" s="31">
        <v>2020</v>
      </c>
      <c r="E100" s="31" t="s">
        <v>116</v>
      </c>
      <c r="F100" s="2" t="s">
        <v>114</v>
      </c>
      <c r="G100" s="32">
        <v>75000</v>
      </c>
      <c r="H100" s="9"/>
      <c r="I100" s="9"/>
    </row>
    <row r="101" spans="2:9" x14ac:dyDescent="0.25">
      <c r="B101" s="51" t="s">
        <v>279</v>
      </c>
      <c r="C101" s="2" t="s">
        <v>112</v>
      </c>
      <c r="D101" s="31">
        <v>2020</v>
      </c>
      <c r="E101" s="31" t="s">
        <v>113</v>
      </c>
      <c r="F101" s="2" t="s">
        <v>111</v>
      </c>
      <c r="G101" s="32">
        <v>170000</v>
      </c>
      <c r="H101" s="9"/>
      <c r="I101" s="9"/>
    </row>
    <row r="102" spans="2:9" x14ac:dyDescent="0.25">
      <c r="B102" s="51" t="s">
        <v>245</v>
      </c>
      <c r="C102" s="2" t="s">
        <v>109</v>
      </c>
      <c r="D102" s="31">
        <v>2020</v>
      </c>
      <c r="E102" s="31" t="s">
        <v>110</v>
      </c>
      <c r="F102" s="2" t="s">
        <v>108</v>
      </c>
      <c r="G102" s="32">
        <v>160000</v>
      </c>
      <c r="H102" s="9"/>
      <c r="I102" s="9"/>
    </row>
    <row r="103" spans="2:9" x14ac:dyDescent="0.25">
      <c r="B103" s="51" t="s">
        <v>246</v>
      </c>
      <c r="C103" s="2" t="s">
        <v>106</v>
      </c>
      <c r="D103" s="31">
        <v>2020</v>
      </c>
      <c r="E103" s="31" t="s">
        <v>107</v>
      </c>
      <c r="F103" s="2" t="s">
        <v>105</v>
      </c>
      <c r="G103" s="32">
        <v>250000</v>
      </c>
      <c r="H103" s="9"/>
      <c r="I103" s="9"/>
    </row>
    <row r="104" spans="2:9" x14ac:dyDescent="0.25">
      <c r="B104" s="51" t="s">
        <v>278</v>
      </c>
      <c r="C104" s="2" t="s">
        <v>103</v>
      </c>
      <c r="D104" s="31">
        <v>2020</v>
      </c>
      <c r="E104" s="31" t="s">
        <v>104</v>
      </c>
      <c r="F104" s="2" t="s">
        <v>102</v>
      </c>
      <c r="G104" s="32">
        <v>300000</v>
      </c>
      <c r="H104" s="9"/>
      <c r="I104" s="9"/>
    </row>
    <row r="105" spans="2:9" x14ac:dyDescent="0.25">
      <c r="B105" s="51" t="s">
        <v>247</v>
      </c>
      <c r="C105" s="2" t="s">
        <v>100</v>
      </c>
      <c r="D105" s="31">
        <v>2020</v>
      </c>
      <c r="E105" s="31" t="s">
        <v>101</v>
      </c>
      <c r="F105" s="2" t="s">
        <v>99</v>
      </c>
      <c r="G105" s="32">
        <v>85000</v>
      </c>
      <c r="H105" s="9"/>
      <c r="I105" s="9"/>
    </row>
    <row r="106" spans="2:9" x14ac:dyDescent="0.25">
      <c r="B106" s="51" t="s">
        <v>248</v>
      </c>
      <c r="C106" s="2" t="s">
        <v>97</v>
      </c>
      <c r="D106" s="31">
        <v>2020</v>
      </c>
      <c r="E106" s="31" t="s">
        <v>98</v>
      </c>
      <c r="F106" s="2" t="s">
        <v>96</v>
      </c>
      <c r="G106" s="32">
        <v>90000</v>
      </c>
      <c r="H106" s="9"/>
      <c r="I106" s="9"/>
    </row>
    <row r="107" spans="2:9" x14ac:dyDescent="0.25">
      <c r="B107" s="2" t="s">
        <v>249</v>
      </c>
      <c r="C107" s="2" t="s">
        <v>302</v>
      </c>
      <c r="D107" s="31">
        <v>1980</v>
      </c>
      <c r="E107" s="31" t="s">
        <v>175</v>
      </c>
      <c r="F107" s="32" t="s">
        <v>303</v>
      </c>
      <c r="G107" s="32">
        <v>1000000000</v>
      </c>
      <c r="H107" s="9"/>
      <c r="I107" s="9"/>
    </row>
    <row r="108" spans="2:9" x14ac:dyDescent="0.25">
      <c r="B108" s="2" t="s">
        <v>250</v>
      </c>
      <c r="C108" s="2" t="s">
        <v>304</v>
      </c>
      <c r="D108" s="31">
        <v>2005</v>
      </c>
      <c r="E108" s="31" t="s">
        <v>172</v>
      </c>
      <c r="F108" s="32" t="s">
        <v>300</v>
      </c>
      <c r="G108" s="32">
        <v>2000000000000000</v>
      </c>
      <c r="H108" s="9"/>
      <c r="I108" s="9"/>
    </row>
    <row r="109" spans="2:9" x14ac:dyDescent="0.25">
      <c r="B109" s="2" t="s">
        <v>195</v>
      </c>
      <c r="C109" s="2" t="s">
        <v>305</v>
      </c>
      <c r="D109" s="31">
        <v>2005</v>
      </c>
      <c r="E109" s="31" t="s">
        <v>169</v>
      </c>
      <c r="F109" s="32" t="s">
        <v>300</v>
      </c>
      <c r="G109" s="32">
        <v>10000000000000</v>
      </c>
      <c r="H109" s="9"/>
      <c r="I109" s="9"/>
    </row>
    <row r="110" spans="2:9" x14ac:dyDescent="0.25">
      <c r="B110" s="50" t="s">
        <v>251</v>
      </c>
      <c r="C110" s="2" t="s">
        <v>306</v>
      </c>
      <c r="D110" s="31">
        <v>2020</v>
      </c>
      <c r="E110" s="31" t="s">
        <v>151</v>
      </c>
      <c r="F110" s="2" t="s">
        <v>300</v>
      </c>
      <c r="G110" s="32">
        <v>200000000</v>
      </c>
      <c r="H110" s="9"/>
      <c r="I110" s="9"/>
    </row>
    <row r="111" spans="2:9" x14ac:dyDescent="0.25">
      <c r="B111" s="50" t="s">
        <v>252</v>
      </c>
      <c r="C111" s="2" t="s">
        <v>147</v>
      </c>
      <c r="D111" s="31">
        <v>2020</v>
      </c>
      <c r="E111" s="31" t="s">
        <v>148</v>
      </c>
      <c r="F111" s="2" t="s">
        <v>146</v>
      </c>
      <c r="G111" s="32">
        <v>700000000000</v>
      </c>
      <c r="H111" s="9"/>
      <c r="I111" s="9"/>
    </row>
    <row r="112" spans="2:9" x14ac:dyDescent="0.25">
      <c r="B112" s="51" t="s">
        <v>253</v>
      </c>
      <c r="C112" s="2" t="s">
        <v>124</v>
      </c>
      <c r="D112" s="31">
        <v>2020</v>
      </c>
      <c r="E112" s="31" t="s">
        <v>125</v>
      </c>
      <c r="F112" s="2" t="s">
        <v>123</v>
      </c>
      <c r="G112" s="32">
        <v>220000</v>
      </c>
      <c r="H112" s="9"/>
      <c r="I112" s="9"/>
    </row>
    <row r="113" spans="2:9" x14ac:dyDescent="0.25">
      <c r="B113" s="51" t="s">
        <v>254</v>
      </c>
      <c r="C113" s="2" t="s">
        <v>121</v>
      </c>
      <c r="D113" s="31">
        <v>2020</v>
      </c>
      <c r="E113" s="31" t="s">
        <v>122</v>
      </c>
      <c r="F113" s="2" t="s">
        <v>120</v>
      </c>
      <c r="G113" s="32">
        <v>240000</v>
      </c>
      <c r="H113" s="9"/>
      <c r="I113" s="9"/>
    </row>
    <row r="114" spans="2:9" x14ac:dyDescent="0.25">
      <c r="B114" s="51" t="s">
        <v>255</v>
      </c>
      <c r="C114" s="2" t="s">
        <v>118</v>
      </c>
      <c r="D114" s="31">
        <v>2020</v>
      </c>
      <c r="E114" s="31" t="s">
        <v>119</v>
      </c>
      <c r="F114" s="2" t="s">
        <v>117</v>
      </c>
      <c r="G114" s="32">
        <v>130000</v>
      </c>
      <c r="H114" s="9"/>
      <c r="I114" s="9"/>
    </row>
    <row r="115" spans="2:9" x14ac:dyDescent="0.25">
      <c r="B115" s="51" t="s">
        <v>256</v>
      </c>
      <c r="C115" s="2" t="s">
        <v>115</v>
      </c>
      <c r="D115" s="31">
        <v>2020</v>
      </c>
      <c r="E115" s="31" t="s">
        <v>116</v>
      </c>
      <c r="F115" s="2" t="s">
        <v>114</v>
      </c>
      <c r="G115" s="32">
        <v>75000</v>
      </c>
      <c r="H115" s="9"/>
      <c r="I115" s="9"/>
    </row>
    <row r="116" spans="2:9" x14ac:dyDescent="0.25">
      <c r="B116" s="51" t="s">
        <v>257</v>
      </c>
      <c r="C116" s="2" t="s">
        <v>112</v>
      </c>
      <c r="D116" s="31">
        <v>2020</v>
      </c>
      <c r="E116" s="31" t="s">
        <v>113</v>
      </c>
      <c r="F116" s="2" t="s">
        <v>111</v>
      </c>
      <c r="G116" s="32">
        <v>170000</v>
      </c>
      <c r="H116" s="9"/>
      <c r="I116" s="9"/>
    </row>
    <row r="117" spans="2:9" x14ac:dyDescent="0.25">
      <c r="B117" s="51" t="s">
        <v>258</v>
      </c>
      <c r="C117" s="2" t="s">
        <v>109</v>
      </c>
      <c r="D117" s="31">
        <v>2020</v>
      </c>
      <c r="E117" s="31" t="s">
        <v>110</v>
      </c>
      <c r="F117" s="2" t="s">
        <v>108</v>
      </c>
      <c r="G117" s="32">
        <v>160000</v>
      </c>
      <c r="H117" s="9"/>
      <c r="I117" s="9"/>
    </row>
    <row r="118" spans="2:9" x14ac:dyDescent="0.25">
      <c r="B118" s="51" t="s">
        <v>259</v>
      </c>
      <c r="C118" s="2" t="s">
        <v>106</v>
      </c>
      <c r="D118" s="31">
        <v>2020</v>
      </c>
      <c r="E118" s="31" t="s">
        <v>107</v>
      </c>
      <c r="F118" s="2" t="s">
        <v>105</v>
      </c>
      <c r="G118" s="32">
        <v>250000</v>
      </c>
      <c r="H118" s="9"/>
      <c r="I118" s="9"/>
    </row>
    <row r="119" spans="2:9" x14ac:dyDescent="0.25">
      <c r="B119" s="51" t="s">
        <v>260</v>
      </c>
      <c r="C119" s="2" t="s">
        <v>103</v>
      </c>
      <c r="D119" s="31">
        <v>2020</v>
      </c>
      <c r="E119" s="31" t="s">
        <v>104</v>
      </c>
      <c r="F119" s="2" t="s">
        <v>102</v>
      </c>
      <c r="G119" s="32">
        <v>300000</v>
      </c>
      <c r="H119" s="9"/>
      <c r="I119" s="9"/>
    </row>
    <row r="120" spans="2:9" x14ac:dyDescent="0.25">
      <c r="B120" s="51" t="s">
        <v>261</v>
      </c>
      <c r="C120" s="2" t="s">
        <v>100</v>
      </c>
      <c r="D120" s="31">
        <v>2020</v>
      </c>
      <c r="E120" s="31" t="s">
        <v>101</v>
      </c>
      <c r="F120" s="2" t="s">
        <v>99</v>
      </c>
      <c r="G120" s="32">
        <v>85000</v>
      </c>
      <c r="H120" s="9"/>
      <c r="I120" s="9"/>
    </row>
    <row r="121" spans="2:9" x14ac:dyDescent="0.25">
      <c r="B121" s="51" t="s">
        <v>262</v>
      </c>
      <c r="C121" s="2" t="s">
        <v>97</v>
      </c>
      <c r="D121" s="31">
        <v>2020</v>
      </c>
      <c r="E121" s="31" t="s">
        <v>98</v>
      </c>
      <c r="F121" s="2" t="s">
        <v>96</v>
      </c>
      <c r="G121" s="32">
        <v>90000</v>
      </c>
      <c r="H121" s="9"/>
      <c r="I121" s="9"/>
    </row>
    <row r="122" spans="2:9" x14ac:dyDescent="0.25">
      <c r="B122" s="2" t="s">
        <v>263</v>
      </c>
      <c r="C122" s="2" t="s">
        <v>307</v>
      </c>
      <c r="D122" s="31">
        <v>1980</v>
      </c>
      <c r="E122" s="31" t="s">
        <v>175</v>
      </c>
      <c r="F122" s="32" t="s">
        <v>308</v>
      </c>
      <c r="G122" s="32">
        <v>1000000000</v>
      </c>
      <c r="H122" s="9"/>
      <c r="I122" s="9"/>
    </row>
    <row r="123" spans="2:9" x14ac:dyDescent="0.25">
      <c r="B123" s="2" t="s">
        <v>264</v>
      </c>
      <c r="C123" s="2" t="s">
        <v>309</v>
      </c>
      <c r="D123" s="31">
        <v>2005</v>
      </c>
      <c r="E123" s="31" t="s">
        <v>172</v>
      </c>
      <c r="F123" s="32" t="s">
        <v>308</v>
      </c>
      <c r="G123" s="32">
        <v>2000000000000000</v>
      </c>
      <c r="H123" s="9"/>
      <c r="I123" s="9"/>
    </row>
    <row r="124" spans="2:9" x14ac:dyDescent="0.25">
      <c r="B124" s="2" t="s">
        <v>265</v>
      </c>
      <c r="C124" s="2" t="s">
        <v>310</v>
      </c>
      <c r="D124" s="31">
        <v>2005</v>
      </c>
      <c r="E124" s="31" t="s">
        <v>169</v>
      </c>
      <c r="F124" s="32" t="s">
        <v>311</v>
      </c>
      <c r="G124" s="32">
        <v>10000000000000</v>
      </c>
      <c r="H124" s="9"/>
      <c r="I124" s="9"/>
    </row>
    <row r="125" spans="2:9" x14ac:dyDescent="0.25">
      <c r="B125" s="50" t="s">
        <v>266</v>
      </c>
      <c r="C125" s="2" t="s">
        <v>299</v>
      </c>
      <c r="D125" s="31">
        <v>2020</v>
      </c>
      <c r="E125" s="31" t="s">
        <v>151</v>
      </c>
      <c r="F125" s="2" t="s">
        <v>150</v>
      </c>
      <c r="G125" s="32">
        <v>200000000</v>
      </c>
      <c r="H125" s="9"/>
      <c r="I125" s="9"/>
    </row>
    <row r="126" spans="2:9" x14ac:dyDescent="0.25">
      <c r="B126" s="50" t="s">
        <v>267</v>
      </c>
      <c r="C126" s="2" t="s">
        <v>147</v>
      </c>
      <c r="D126" s="31">
        <v>2020</v>
      </c>
      <c r="E126" s="31" t="s">
        <v>148</v>
      </c>
      <c r="F126" s="2" t="s">
        <v>146</v>
      </c>
      <c r="G126" s="32">
        <v>700000000000</v>
      </c>
      <c r="H126" s="9"/>
      <c r="I126" s="9"/>
    </row>
    <row r="127" spans="2:9" x14ac:dyDescent="0.25">
      <c r="B127" s="51" t="s">
        <v>268</v>
      </c>
      <c r="C127" s="2" t="s">
        <v>124</v>
      </c>
      <c r="D127" s="31">
        <v>2020</v>
      </c>
      <c r="E127" s="31" t="s">
        <v>125</v>
      </c>
      <c r="F127" s="2" t="s">
        <v>123</v>
      </c>
      <c r="G127" s="32">
        <v>220000</v>
      </c>
      <c r="H127" s="9"/>
      <c r="I127" s="9"/>
    </row>
    <row r="128" spans="2:9" x14ac:dyDescent="0.25">
      <c r="B128" s="51" t="s">
        <v>269</v>
      </c>
      <c r="C128" s="2" t="s">
        <v>121</v>
      </c>
      <c r="D128" s="31">
        <v>2020</v>
      </c>
      <c r="E128" s="31" t="s">
        <v>122</v>
      </c>
      <c r="F128" s="2" t="s">
        <v>120</v>
      </c>
      <c r="G128" s="32">
        <v>240000</v>
      </c>
      <c r="H128" s="9"/>
      <c r="I128" s="9"/>
    </row>
    <row r="129" spans="2:9" x14ac:dyDescent="0.25">
      <c r="B129" s="51" t="s">
        <v>270</v>
      </c>
      <c r="C129" s="2" t="s">
        <v>118</v>
      </c>
      <c r="D129" s="31">
        <v>2020</v>
      </c>
      <c r="E129" s="31" t="s">
        <v>119</v>
      </c>
      <c r="F129" s="2" t="s">
        <v>117</v>
      </c>
      <c r="G129" s="32">
        <v>130000</v>
      </c>
      <c r="H129" s="9"/>
      <c r="I129" s="9"/>
    </row>
    <row r="130" spans="2:9" x14ac:dyDescent="0.25">
      <c r="B130" s="51" t="s">
        <v>271</v>
      </c>
      <c r="C130" s="2" t="s">
        <v>115</v>
      </c>
      <c r="D130" s="31">
        <v>2020</v>
      </c>
      <c r="E130" s="31" t="s">
        <v>116</v>
      </c>
      <c r="F130" s="2" t="s">
        <v>114</v>
      </c>
      <c r="G130" s="32">
        <v>75000</v>
      </c>
      <c r="H130" s="9"/>
      <c r="I130" s="9"/>
    </row>
    <row r="131" spans="2:9" x14ac:dyDescent="0.25">
      <c r="B131" s="51" t="s">
        <v>272</v>
      </c>
      <c r="C131" s="2" t="s">
        <v>112</v>
      </c>
      <c r="D131" s="31">
        <v>2020</v>
      </c>
      <c r="E131" s="31" t="s">
        <v>113</v>
      </c>
      <c r="F131" s="2" t="s">
        <v>111</v>
      </c>
      <c r="G131" s="32">
        <v>170000</v>
      </c>
      <c r="H131" s="9"/>
      <c r="I131" s="9"/>
    </row>
    <row r="132" spans="2:9" x14ac:dyDescent="0.25">
      <c r="B132" s="51" t="s">
        <v>273</v>
      </c>
      <c r="C132" s="2" t="s">
        <v>109</v>
      </c>
      <c r="D132" s="31">
        <v>2020</v>
      </c>
      <c r="E132" s="31" t="s">
        <v>110</v>
      </c>
      <c r="F132" s="2" t="s">
        <v>108</v>
      </c>
      <c r="G132" s="32">
        <v>160000</v>
      </c>
      <c r="H132" s="9"/>
      <c r="I132" s="9"/>
    </row>
    <row r="133" spans="2:9" x14ac:dyDescent="0.25">
      <c r="B133" s="51" t="s">
        <v>274</v>
      </c>
      <c r="C133" s="2" t="s">
        <v>106</v>
      </c>
      <c r="D133" s="31">
        <v>2020</v>
      </c>
      <c r="E133" s="31" t="s">
        <v>107</v>
      </c>
      <c r="F133" s="2" t="s">
        <v>105</v>
      </c>
      <c r="G133" s="32">
        <v>250000</v>
      </c>
      <c r="H133" s="9"/>
      <c r="I133" s="9"/>
    </row>
    <row r="134" spans="2:9" x14ac:dyDescent="0.25">
      <c r="B134" s="51" t="s">
        <v>275</v>
      </c>
      <c r="C134" s="2" t="s">
        <v>103</v>
      </c>
      <c r="D134" s="31">
        <v>2020</v>
      </c>
      <c r="E134" s="31" t="s">
        <v>104</v>
      </c>
      <c r="F134" s="2" t="s">
        <v>102</v>
      </c>
      <c r="G134" s="32">
        <v>300000</v>
      </c>
      <c r="H134" s="9"/>
      <c r="I134" s="9"/>
    </row>
    <row r="135" spans="2:9" x14ac:dyDescent="0.25">
      <c r="B135" s="51" t="s">
        <v>276</v>
      </c>
      <c r="C135" s="2" t="s">
        <v>100</v>
      </c>
      <c r="D135" s="31">
        <v>2020</v>
      </c>
      <c r="E135" s="31" t="s">
        <v>101</v>
      </c>
      <c r="F135" s="2" t="s">
        <v>99</v>
      </c>
      <c r="G135" s="32">
        <v>85000</v>
      </c>
      <c r="H135" s="9"/>
      <c r="I135" s="9"/>
    </row>
    <row r="136" spans="2:9" x14ac:dyDescent="0.25">
      <c r="B136" s="51" t="s">
        <v>277</v>
      </c>
      <c r="C136" s="2" t="s">
        <v>97</v>
      </c>
      <c r="D136" s="31">
        <v>2020</v>
      </c>
      <c r="E136" s="31" t="s">
        <v>98</v>
      </c>
      <c r="F136" s="2" t="s">
        <v>96</v>
      </c>
      <c r="G136" s="32">
        <v>90000</v>
      </c>
      <c r="H136" s="9"/>
      <c r="I136" s="9"/>
    </row>
    <row r="137" spans="2:9" x14ac:dyDescent="0.25">
      <c r="B137" s="51" t="s">
        <v>312</v>
      </c>
      <c r="C137" s="2" t="s">
        <v>287</v>
      </c>
      <c r="D137" s="31">
        <v>2020</v>
      </c>
      <c r="E137" s="31" t="s">
        <v>125</v>
      </c>
      <c r="F137" s="2" t="s">
        <v>123</v>
      </c>
      <c r="G137" s="32">
        <v>220000</v>
      </c>
      <c r="H137" s="9"/>
      <c r="I137" s="9"/>
    </row>
    <row r="138" spans="2:9" x14ac:dyDescent="0.25">
      <c r="B138" s="51" t="s">
        <v>313</v>
      </c>
      <c r="C138" s="2" t="s">
        <v>121</v>
      </c>
      <c r="D138" s="31">
        <v>2020</v>
      </c>
      <c r="E138" s="31" t="s">
        <v>122</v>
      </c>
      <c r="F138" s="2" t="s">
        <v>120</v>
      </c>
      <c r="G138" s="32">
        <v>240000</v>
      </c>
      <c r="H138" s="9"/>
      <c r="I138" s="9"/>
    </row>
    <row r="139" spans="2:9" x14ac:dyDescent="0.25">
      <c r="B139" s="51" t="s">
        <v>315</v>
      </c>
      <c r="C139" s="2" t="s">
        <v>118</v>
      </c>
      <c r="D139" s="31">
        <v>2020</v>
      </c>
      <c r="E139" s="31" t="s">
        <v>119</v>
      </c>
      <c r="F139" s="2" t="s">
        <v>117</v>
      </c>
      <c r="G139" s="32">
        <v>130000</v>
      </c>
      <c r="H139" s="9"/>
      <c r="I139" s="9"/>
    </row>
    <row r="140" spans="2:9" x14ac:dyDescent="0.25">
      <c r="B140" s="51" t="s">
        <v>314</v>
      </c>
      <c r="C140" s="2" t="s">
        <v>115</v>
      </c>
      <c r="D140" s="31">
        <v>2020</v>
      </c>
      <c r="E140" s="31" t="s">
        <v>116</v>
      </c>
      <c r="F140" s="2" t="s">
        <v>114</v>
      </c>
      <c r="G140" s="32">
        <v>75000</v>
      </c>
      <c r="H140" s="9"/>
      <c r="I140" s="9"/>
    </row>
    <row r="141" spans="2:9" x14ac:dyDescent="0.25">
      <c r="B141" s="51" t="s">
        <v>316</v>
      </c>
      <c r="C141" s="2" t="s">
        <v>112</v>
      </c>
      <c r="D141" s="31">
        <v>2020</v>
      </c>
      <c r="E141" s="31" t="s">
        <v>113</v>
      </c>
      <c r="F141" s="2" t="s">
        <v>111</v>
      </c>
      <c r="G141" s="32">
        <v>170000</v>
      </c>
      <c r="H141" s="9"/>
      <c r="I141" s="9"/>
    </row>
    <row r="142" spans="2:9" x14ac:dyDescent="0.25">
      <c r="B142" s="51" t="s">
        <v>317</v>
      </c>
      <c r="C142" s="2" t="s">
        <v>109</v>
      </c>
      <c r="D142" s="31">
        <v>2020</v>
      </c>
      <c r="E142" s="31" t="s">
        <v>110</v>
      </c>
      <c r="F142" s="2" t="s">
        <v>108</v>
      </c>
      <c r="G142" s="32">
        <v>160000</v>
      </c>
      <c r="H142" s="9"/>
      <c r="I142" s="9"/>
    </row>
    <row r="143" spans="2:9" x14ac:dyDescent="0.25">
      <c r="B143" s="51" t="s">
        <v>318</v>
      </c>
      <c r="C143" s="2" t="s">
        <v>106</v>
      </c>
      <c r="D143" s="31">
        <v>2020</v>
      </c>
      <c r="E143" s="31" t="s">
        <v>107</v>
      </c>
      <c r="F143" s="2" t="s">
        <v>105</v>
      </c>
      <c r="G143" s="32">
        <v>250000</v>
      </c>
      <c r="H143" s="9"/>
      <c r="I143" s="9"/>
    </row>
    <row r="144" spans="2:9" x14ac:dyDescent="0.25">
      <c r="B144" s="51" t="s">
        <v>319</v>
      </c>
      <c r="C144" s="2" t="s">
        <v>103</v>
      </c>
      <c r="D144" s="31">
        <v>2020</v>
      </c>
      <c r="E144" s="31" t="s">
        <v>104</v>
      </c>
      <c r="F144" s="2" t="s">
        <v>102</v>
      </c>
      <c r="G144" s="32">
        <v>300000</v>
      </c>
      <c r="H144" s="9"/>
      <c r="I144" s="9"/>
    </row>
    <row r="145" spans="2:9" x14ac:dyDescent="0.25">
      <c r="B145" s="51" t="s">
        <v>320</v>
      </c>
      <c r="C145" s="2" t="s">
        <v>100</v>
      </c>
      <c r="D145" s="31">
        <v>2020</v>
      </c>
      <c r="E145" s="31" t="s">
        <v>101</v>
      </c>
      <c r="F145" s="2" t="s">
        <v>99</v>
      </c>
      <c r="G145" s="32">
        <v>85000</v>
      </c>
      <c r="H145" s="9"/>
      <c r="I145" s="9"/>
    </row>
    <row r="146" spans="2:9" x14ac:dyDescent="0.25">
      <c r="B146" s="51" t="s">
        <v>321</v>
      </c>
      <c r="C146" s="2" t="s">
        <v>97</v>
      </c>
      <c r="D146" s="31">
        <v>2020</v>
      </c>
      <c r="E146" s="31" t="s">
        <v>98</v>
      </c>
      <c r="F146" s="2" t="s">
        <v>96</v>
      </c>
      <c r="G146" s="32">
        <v>90000</v>
      </c>
      <c r="H146" s="9"/>
      <c r="I146" s="9"/>
    </row>
    <row r="147" spans="2:9" x14ac:dyDescent="0.25">
      <c r="B147" s="2" t="s">
        <v>322</v>
      </c>
      <c r="C147" s="2" t="s">
        <v>177</v>
      </c>
      <c r="D147" s="31">
        <v>1980</v>
      </c>
      <c r="E147" s="31" t="s">
        <v>175</v>
      </c>
      <c r="F147" s="32" t="s">
        <v>176</v>
      </c>
      <c r="G147" s="32">
        <v>1000000000</v>
      </c>
      <c r="H147" s="9"/>
      <c r="I147" s="9"/>
    </row>
    <row r="148" spans="2:9" x14ac:dyDescent="0.25">
      <c r="B148" s="2" t="s">
        <v>323</v>
      </c>
      <c r="C148" s="2" t="s">
        <v>288</v>
      </c>
      <c r="D148" s="31">
        <v>2005</v>
      </c>
      <c r="E148" s="31" t="s">
        <v>172</v>
      </c>
      <c r="F148" s="32" t="s">
        <v>150</v>
      </c>
      <c r="G148" s="32">
        <v>2000000000000000</v>
      </c>
      <c r="H148" s="9"/>
      <c r="I148" s="9"/>
    </row>
    <row r="149" spans="2:9" x14ac:dyDescent="0.25">
      <c r="B149" s="2" t="s">
        <v>324</v>
      </c>
      <c r="C149" s="2" t="s">
        <v>289</v>
      </c>
      <c r="D149" s="31">
        <v>2005</v>
      </c>
      <c r="E149" s="31" t="s">
        <v>169</v>
      </c>
      <c r="F149" s="32" t="s">
        <v>150</v>
      </c>
      <c r="G149" s="32">
        <v>10000000000000</v>
      </c>
      <c r="H149" s="9"/>
      <c r="I149" s="9"/>
    </row>
    <row r="150" spans="2:9" x14ac:dyDescent="0.25">
      <c r="B150" s="50" t="s">
        <v>325</v>
      </c>
      <c r="C150" s="2" t="s">
        <v>290</v>
      </c>
      <c r="D150" s="31">
        <v>2020</v>
      </c>
      <c r="E150" s="31" t="s">
        <v>151</v>
      </c>
      <c r="F150" s="2" t="s">
        <v>150</v>
      </c>
      <c r="G150" s="32">
        <v>200000000</v>
      </c>
      <c r="H150" s="9"/>
      <c r="I150" s="9"/>
    </row>
    <row r="151" spans="2:9" x14ac:dyDescent="0.25">
      <c r="B151" s="50" t="s">
        <v>326</v>
      </c>
      <c r="C151" s="2" t="s">
        <v>147</v>
      </c>
      <c r="D151" s="31">
        <v>2020</v>
      </c>
      <c r="E151" s="31" t="s">
        <v>148</v>
      </c>
      <c r="F151" s="2" t="s">
        <v>146</v>
      </c>
      <c r="G151" s="32">
        <v>700000000000</v>
      </c>
      <c r="H151" s="9"/>
      <c r="I151" s="9"/>
    </row>
    <row r="152" spans="2:9" x14ac:dyDescent="0.25">
      <c r="B152" s="51" t="s">
        <v>323</v>
      </c>
      <c r="C152" s="2" t="s">
        <v>124</v>
      </c>
      <c r="D152" s="31">
        <v>2020</v>
      </c>
      <c r="E152" s="31" t="s">
        <v>125</v>
      </c>
      <c r="F152" s="2" t="s">
        <v>123</v>
      </c>
      <c r="G152" s="32">
        <v>220000</v>
      </c>
      <c r="H152" s="9"/>
      <c r="I152" s="9"/>
    </row>
    <row r="153" spans="2:9" x14ac:dyDescent="0.25">
      <c r="B153" s="51" t="s">
        <v>332</v>
      </c>
      <c r="C153" s="2" t="s">
        <v>121</v>
      </c>
      <c r="D153" s="31">
        <v>2020</v>
      </c>
      <c r="E153" s="31" t="s">
        <v>122</v>
      </c>
      <c r="F153" s="2" t="s">
        <v>120</v>
      </c>
      <c r="G153" s="32">
        <v>240000</v>
      </c>
      <c r="H153" s="9"/>
      <c r="I153" s="9"/>
    </row>
    <row r="154" spans="2:9" x14ac:dyDescent="0.25">
      <c r="B154" s="51" t="s">
        <v>333</v>
      </c>
      <c r="C154" s="2" t="s">
        <v>118</v>
      </c>
      <c r="D154" s="31">
        <v>2020</v>
      </c>
      <c r="E154" s="31" t="s">
        <v>119</v>
      </c>
      <c r="F154" s="2" t="s">
        <v>117</v>
      </c>
      <c r="G154" s="32">
        <v>130000</v>
      </c>
      <c r="H154" s="9"/>
      <c r="I154" s="9"/>
    </row>
    <row r="155" spans="2:9" x14ac:dyDescent="0.25">
      <c r="B155" s="51" t="s">
        <v>334</v>
      </c>
      <c r="C155" s="2" t="s">
        <v>115</v>
      </c>
      <c r="D155" s="31">
        <v>2020</v>
      </c>
      <c r="E155" s="31" t="s">
        <v>116</v>
      </c>
      <c r="F155" s="2" t="s">
        <v>114</v>
      </c>
      <c r="G155" s="32">
        <v>75000</v>
      </c>
      <c r="H155" s="9"/>
      <c r="I155" s="9"/>
    </row>
    <row r="156" spans="2:9" x14ac:dyDescent="0.25">
      <c r="B156" s="51" t="s">
        <v>331</v>
      </c>
      <c r="C156" s="2" t="s">
        <v>112</v>
      </c>
      <c r="D156" s="31">
        <v>2020</v>
      </c>
      <c r="E156" s="31" t="s">
        <v>113</v>
      </c>
      <c r="F156" s="2" t="s">
        <v>111</v>
      </c>
      <c r="G156" s="32">
        <v>170000</v>
      </c>
      <c r="H156" s="9"/>
      <c r="I156" s="9"/>
    </row>
    <row r="157" spans="2:9" x14ac:dyDescent="0.25">
      <c r="B157" s="51" t="s">
        <v>330</v>
      </c>
      <c r="C157" s="2" t="s">
        <v>109</v>
      </c>
      <c r="D157" s="31">
        <v>2020</v>
      </c>
      <c r="E157" s="31" t="s">
        <v>110</v>
      </c>
      <c r="F157" s="2" t="s">
        <v>108</v>
      </c>
      <c r="G157" s="32">
        <v>160000</v>
      </c>
      <c r="H157" s="9"/>
      <c r="I157" s="9"/>
    </row>
    <row r="158" spans="2:9" x14ac:dyDescent="0.25">
      <c r="B158" s="51" t="s">
        <v>329</v>
      </c>
      <c r="C158" s="2" t="s">
        <v>106</v>
      </c>
      <c r="D158" s="31">
        <v>2020</v>
      </c>
      <c r="E158" s="31" t="s">
        <v>107</v>
      </c>
      <c r="F158" s="2" t="s">
        <v>105</v>
      </c>
      <c r="G158" s="32">
        <v>250000</v>
      </c>
      <c r="H158" s="9"/>
      <c r="I158" s="9"/>
    </row>
    <row r="159" spans="2:9" x14ac:dyDescent="0.25">
      <c r="B159" s="51" t="s">
        <v>327</v>
      </c>
      <c r="C159" s="2" t="s">
        <v>291</v>
      </c>
      <c r="D159" s="31">
        <v>2020</v>
      </c>
      <c r="E159" s="31" t="s">
        <v>104</v>
      </c>
      <c r="F159" s="2" t="s">
        <v>102</v>
      </c>
      <c r="G159" s="32">
        <v>300000</v>
      </c>
      <c r="H159" s="9"/>
      <c r="I159" s="9"/>
    </row>
    <row r="160" spans="2:9" x14ac:dyDescent="0.25">
      <c r="B160" s="51" t="s">
        <v>328</v>
      </c>
      <c r="C160" s="2" t="s">
        <v>100</v>
      </c>
      <c r="D160" s="31">
        <v>2020</v>
      </c>
      <c r="E160" s="31" t="s">
        <v>101</v>
      </c>
      <c r="F160" s="2" t="s">
        <v>99</v>
      </c>
      <c r="G160" s="32">
        <v>85000</v>
      </c>
      <c r="H160" s="9"/>
      <c r="I160" s="9"/>
    </row>
    <row r="161" spans="2:9" x14ac:dyDescent="0.25">
      <c r="B161" s="51" t="s">
        <v>335</v>
      </c>
      <c r="C161" s="2" t="s">
        <v>97</v>
      </c>
      <c r="D161" s="31">
        <v>2020</v>
      </c>
      <c r="E161" s="31" t="s">
        <v>98</v>
      </c>
      <c r="F161" s="2" t="s">
        <v>96</v>
      </c>
      <c r="G161" s="32">
        <v>90000</v>
      </c>
      <c r="H161" s="9"/>
      <c r="I161" s="9"/>
    </row>
    <row r="162" spans="2:9" x14ac:dyDescent="0.25">
      <c r="B162" s="2" t="s">
        <v>336</v>
      </c>
      <c r="C162" s="2" t="s">
        <v>292</v>
      </c>
      <c r="D162" s="31">
        <v>1980</v>
      </c>
      <c r="E162" s="31" t="s">
        <v>175</v>
      </c>
      <c r="F162" s="32" t="s">
        <v>176</v>
      </c>
      <c r="G162" s="32">
        <v>1000000000</v>
      </c>
      <c r="H162" s="9"/>
      <c r="I162" s="9"/>
    </row>
    <row r="163" spans="2:9" x14ac:dyDescent="0.25">
      <c r="B163" s="2" t="s">
        <v>338</v>
      </c>
      <c r="C163" s="2" t="s">
        <v>293</v>
      </c>
      <c r="D163" s="31">
        <v>2005</v>
      </c>
      <c r="E163" s="31" t="s">
        <v>172</v>
      </c>
      <c r="F163" s="32" t="s">
        <v>150</v>
      </c>
      <c r="G163" s="32">
        <v>2000000000000000</v>
      </c>
      <c r="H163" s="9"/>
      <c r="I163" s="9"/>
    </row>
    <row r="164" spans="2:9" x14ac:dyDescent="0.25">
      <c r="B164" s="2" t="s">
        <v>337</v>
      </c>
      <c r="C164" s="2" t="s">
        <v>294</v>
      </c>
      <c r="D164" s="31">
        <v>2005</v>
      </c>
      <c r="E164" s="31" t="s">
        <v>169</v>
      </c>
      <c r="F164" s="32" t="s">
        <v>150</v>
      </c>
      <c r="G164" s="32">
        <v>10000000000000</v>
      </c>
      <c r="H164" s="9"/>
      <c r="I164" s="9"/>
    </row>
    <row r="165" spans="2:9" x14ac:dyDescent="0.25">
      <c r="B165" s="50" t="s">
        <v>339</v>
      </c>
      <c r="C165" s="2" t="s">
        <v>295</v>
      </c>
      <c r="D165" s="31">
        <v>2020</v>
      </c>
      <c r="E165" s="31" t="s">
        <v>151</v>
      </c>
      <c r="F165" s="2" t="s">
        <v>150</v>
      </c>
      <c r="G165" s="32">
        <v>200000000</v>
      </c>
      <c r="H165" s="9"/>
      <c r="I165" s="9"/>
    </row>
    <row r="166" spans="2:9" x14ac:dyDescent="0.25">
      <c r="B166" s="50" t="s">
        <v>340</v>
      </c>
      <c r="C166" s="2" t="s">
        <v>147</v>
      </c>
      <c r="D166" s="31">
        <v>2020</v>
      </c>
      <c r="E166" s="31" t="s">
        <v>148</v>
      </c>
      <c r="F166" s="2" t="s">
        <v>146</v>
      </c>
      <c r="G166" s="32">
        <v>700000000000</v>
      </c>
      <c r="H166" s="9"/>
      <c r="I166" s="9"/>
    </row>
    <row r="167" spans="2:9" x14ac:dyDescent="0.25">
      <c r="B167" s="51" t="s">
        <v>341</v>
      </c>
      <c r="C167" s="2" t="s">
        <v>124</v>
      </c>
      <c r="D167" s="31">
        <v>2020</v>
      </c>
      <c r="E167" s="31" t="s">
        <v>125</v>
      </c>
      <c r="F167" s="2" t="s">
        <v>123</v>
      </c>
      <c r="G167" s="32">
        <v>220000</v>
      </c>
      <c r="H167" s="9"/>
      <c r="I167" s="9"/>
    </row>
    <row r="168" spans="2:9" x14ac:dyDescent="0.25">
      <c r="B168" s="51" t="s">
        <v>342</v>
      </c>
      <c r="C168" s="2" t="s">
        <v>121</v>
      </c>
      <c r="D168" s="31">
        <v>2020</v>
      </c>
      <c r="E168" s="31" t="s">
        <v>122</v>
      </c>
      <c r="F168" s="2" t="s">
        <v>120</v>
      </c>
      <c r="G168" s="32">
        <v>240000</v>
      </c>
      <c r="H168" s="9"/>
      <c r="I168" s="9"/>
    </row>
    <row r="169" spans="2:9" x14ac:dyDescent="0.25">
      <c r="B169" s="51" t="s">
        <v>343</v>
      </c>
      <c r="C169" s="2" t="s">
        <v>118</v>
      </c>
      <c r="D169" s="31">
        <v>2020</v>
      </c>
      <c r="E169" s="31" t="s">
        <v>119</v>
      </c>
      <c r="F169" s="2" t="s">
        <v>117</v>
      </c>
      <c r="G169" s="32">
        <v>130000</v>
      </c>
      <c r="H169" s="9"/>
      <c r="I169" s="9"/>
    </row>
    <row r="170" spans="2:9" x14ac:dyDescent="0.25">
      <c r="B170" s="51" t="s">
        <v>344</v>
      </c>
      <c r="C170" s="2" t="s">
        <v>115</v>
      </c>
      <c r="D170" s="31">
        <v>2020</v>
      </c>
      <c r="E170" s="31" t="s">
        <v>116</v>
      </c>
      <c r="F170" s="2" t="s">
        <v>114</v>
      </c>
      <c r="G170" s="32">
        <v>75000</v>
      </c>
      <c r="H170" s="9"/>
      <c r="I170" s="9"/>
    </row>
    <row r="171" spans="2:9" x14ac:dyDescent="0.25">
      <c r="B171" s="51" t="s">
        <v>345</v>
      </c>
      <c r="C171" s="2" t="s">
        <v>112</v>
      </c>
      <c r="D171" s="31">
        <v>2020</v>
      </c>
      <c r="E171" s="31" t="s">
        <v>113</v>
      </c>
      <c r="F171" s="2" t="s">
        <v>111</v>
      </c>
      <c r="G171" s="32">
        <v>170000</v>
      </c>
      <c r="H171" s="9"/>
      <c r="I171" s="9"/>
    </row>
    <row r="172" spans="2:9" x14ac:dyDescent="0.25">
      <c r="B172" s="51" t="s">
        <v>346</v>
      </c>
      <c r="C172" s="2" t="s">
        <v>109</v>
      </c>
      <c r="D172" s="31">
        <v>2020</v>
      </c>
      <c r="E172" s="31" t="s">
        <v>110</v>
      </c>
      <c r="F172" s="2" t="s">
        <v>108</v>
      </c>
      <c r="G172" s="32">
        <v>160000</v>
      </c>
      <c r="H172" s="9"/>
      <c r="I172" s="9"/>
    </row>
    <row r="173" spans="2:9" x14ac:dyDescent="0.25">
      <c r="B173" s="51" t="s">
        <v>347</v>
      </c>
      <c r="C173" s="2" t="s">
        <v>106</v>
      </c>
      <c r="D173" s="31">
        <v>2020</v>
      </c>
      <c r="E173" s="31" t="s">
        <v>107</v>
      </c>
      <c r="F173" s="2" t="s">
        <v>105</v>
      </c>
      <c r="G173" s="32">
        <v>250000</v>
      </c>
      <c r="H173" s="9"/>
      <c r="I173" s="9"/>
    </row>
    <row r="174" spans="2:9" x14ac:dyDescent="0.25">
      <c r="B174" s="51" t="s">
        <v>348</v>
      </c>
      <c r="C174" s="2" t="s">
        <v>296</v>
      </c>
      <c r="D174" s="31">
        <v>2020</v>
      </c>
      <c r="E174" s="31" t="s">
        <v>104</v>
      </c>
      <c r="F174" s="2" t="s">
        <v>102</v>
      </c>
      <c r="G174" s="32">
        <v>300000</v>
      </c>
      <c r="H174" s="9"/>
      <c r="I174" s="9"/>
    </row>
    <row r="175" spans="2:9" x14ac:dyDescent="0.25">
      <c r="B175" s="51" t="s">
        <v>349</v>
      </c>
      <c r="C175" s="2" t="s">
        <v>100</v>
      </c>
      <c r="D175" s="31">
        <v>2020</v>
      </c>
      <c r="E175" s="31" t="s">
        <v>101</v>
      </c>
      <c r="F175" s="2" t="s">
        <v>99</v>
      </c>
      <c r="G175" s="32">
        <v>85000</v>
      </c>
      <c r="H175" s="9"/>
      <c r="I175" s="9"/>
    </row>
    <row r="176" spans="2:9" x14ac:dyDescent="0.25">
      <c r="B176" s="51" t="s">
        <v>350</v>
      </c>
      <c r="C176" s="2" t="s">
        <v>97</v>
      </c>
      <c r="D176" s="31">
        <v>2020</v>
      </c>
      <c r="E176" s="31" t="s">
        <v>98</v>
      </c>
      <c r="F176" s="2" t="s">
        <v>96</v>
      </c>
      <c r="G176" s="32">
        <v>90000</v>
      </c>
      <c r="H176" s="9"/>
      <c r="I176" s="9"/>
    </row>
    <row r="177" spans="2:9" x14ac:dyDescent="0.25">
      <c r="B177" s="2" t="s">
        <v>351</v>
      </c>
      <c r="C177" s="2" t="s">
        <v>297</v>
      </c>
      <c r="D177" s="31">
        <v>1980</v>
      </c>
      <c r="E177" s="31" t="s">
        <v>175</v>
      </c>
      <c r="F177" s="32" t="s">
        <v>176</v>
      </c>
      <c r="G177" s="32">
        <v>1000000000</v>
      </c>
      <c r="H177" s="9"/>
      <c r="I177" s="9"/>
    </row>
    <row r="178" spans="2:9" x14ac:dyDescent="0.25">
      <c r="B178" s="2" t="s">
        <v>352</v>
      </c>
      <c r="C178" s="2" t="s">
        <v>298</v>
      </c>
      <c r="D178" s="31">
        <v>2005</v>
      </c>
      <c r="E178" s="31" t="s">
        <v>172</v>
      </c>
      <c r="F178" s="32" t="s">
        <v>150</v>
      </c>
      <c r="G178" s="32">
        <v>2000000000000000</v>
      </c>
      <c r="H178" s="9"/>
      <c r="I178" s="9"/>
    </row>
    <row r="179" spans="2:9" x14ac:dyDescent="0.25">
      <c r="B179" s="2" t="s">
        <v>353</v>
      </c>
      <c r="C179" s="2" t="s">
        <v>299</v>
      </c>
      <c r="D179" s="31">
        <v>2005</v>
      </c>
      <c r="E179" s="31" t="s">
        <v>169</v>
      </c>
      <c r="F179" s="32" t="s">
        <v>300</v>
      </c>
      <c r="G179" s="32">
        <v>10000000000000</v>
      </c>
      <c r="H179" s="9"/>
      <c r="I179" s="9"/>
    </row>
    <row r="180" spans="2:9" x14ac:dyDescent="0.25">
      <c r="B180" s="50" t="s">
        <v>354</v>
      </c>
      <c r="C180" s="2" t="s">
        <v>301</v>
      </c>
      <c r="D180" s="31">
        <v>2020</v>
      </c>
      <c r="E180" s="31" t="s">
        <v>151</v>
      </c>
      <c r="F180" s="2" t="s">
        <v>300</v>
      </c>
      <c r="G180" s="32">
        <v>200000000</v>
      </c>
      <c r="H180" s="9"/>
      <c r="I180" s="9"/>
    </row>
    <row r="181" spans="2:9" x14ac:dyDescent="0.25">
      <c r="B181" s="50" t="s">
        <v>355</v>
      </c>
      <c r="C181" s="2" t="s">
        <v>147</v>
      </c>
      <c r="D181" s="31">
        <v>2020</v>
      </c>
      <c r="E181" s="31" t="s">
        <v>148</v>
      </c>
      <c r="F181" s="2" t="s">
        <v>146</v>
      </c>
      <c r="G181" s="32">
        <v>700000000000</v>
      </c>
      <c r="H181" s="9"/>
      <c r="I181" s="9"/>
    </row>
    <row r="182" spans="2:9" x14ac:dyDescent="0.25">
      <c r="B182" s="51" t="s">
        <v>356</v>
      </c>
      <c r="C182" s="2" t="s">
        <v>124</v>
      </c>
      <c r="D182" s="31">
        <v>2020</v>
      </c>
      <c r="E182" s="31" t="s">
        <v>125</v>
      </c>
      <c r="F182" s="2" t="s">
        <v>123</v>
      </c>
      <c r="G182" s="32">
        <v>220000</v>
      </c>
      <c r="H182" s="9"/>
      <c r="I182" s="9"/>
    </row>
    <row r="183" spans="2:9" x14ac:dyDescent="0.25">
      <c r="B183" s="51" t="s">
        <v>357</v>
      </c>
      <c r="C183" s="2" t="s">
        <v>121</v>
      </c>
      <c r="D183" s="31">
        <v>2020</v>
      </c>
      <c r="E183" s="31" t="s">
        <v>122</v>
      </c>
      <c r="F183" s="2" t="s">
        <v>120</v>
      </c>
      <c r="G183" s="32">
        <v>240000</v>
      </c>
      <c r="H183" s="9"/>
      <c r="I183" s="9"/>
    </row>
    <row r="184" spans="2:9" x14ac:dyDescent="0.25">
      <c r="B184" s="51" t="s">
        <v>358</v>
      </c>
      <c r="C184" s="2" t="s">
        <v>118</v>
      </c>
      <c r="D184" s="31">
        <v>2020</v>
      </c>
      <c r="E184" s="31" t="s">
        <v>119</v>
      </c>
      <c r="F184" s="2" t="s">
        <v>117</v>
      </c>
      <c r="G184" s="32">
        <v>130000</v>
      </c>
      <c r="H184" s="9"/>
      <c r="I184" s="9"/>
    </row>
    <row r="185" spans="2:9" x14ac:dyDescent="0.25">
      <c r="B185" s="51" t="s">
        <v>359</v>
      </c>
      <c r="C185" s="2" t="s">
        <v>115</v>
      </c>
      <c r="D185" s="31">
        <v>2020</v>
      </c>
      <c r="E185" s="31" t="s">
        <v>116</v>
      </c>
      <c r="F185" s="2" t="s">
        <v>114</v>
      </c>
      <c r="G185" s="32">
        <v>75000</v>
      </c>
      <c r="H185" s="9"/>
      <c r="I185" s="9"/>
    </row>
    <row r="186" spans="2:9" x14ac:dyDescent="0.25">
      <c r="B186" s="51" t="s">
        <v>360</v>
      </c>
      <c r="C186" s="2" t="s">
        <v>112</v>
      </c>
      <c r="D186" s="31">
        <v>2020</v>
      </c>
      <c r="E186" s="31" t="s">
        <v>113</v>
      </c>
      <c r="F186" s="2" t="s">
        <v>111</v>
      </c>
      <c r="G186" s="32">
        <v>170000</v>
      </c>
      <c r="H186" s="9"/>
      <c r="I186" s="9"/>
    </row>
    <row r="187" spans="2:9" x14ac:dyDescent="0.25">
      <c r="B187" s="51" t="s">
        <v>361</v>
      </c>
      <c r="C187" s="2" t="s">
        <v>109</v>
      </c>
      <c r="D187" s="31">
        <v>2020</v>
      </c>
      <c r="E187" s="31" t="s">
        <v>110</v>
      </c>
      <c r="F187" s="2" t="s">
        <v>108</v>
      </c>
      <c r="G187" s="32">
        <v>160000</v>
      </c>
      <c r="H187" s="9"/>
      <c r="I187" s="9"/>
    </row>
    <row r="188" spans="2:9" x14ac:dyDescent="0.25">
      <c r="B188" s="51" t="s">
        <v>362</v>
      </c>
      <c r="C188" s="2" t="s">
        <v>106</v>
      </c>
      <c r="D188" s="31">
        <v>2020</v>
      </c>
      <c r="E188" s="31" t="s">
        <v>107</v>
      </c>
      <c r="F188" s="2" t="s">
        <v>105</v>
      </c>
      <c r="G188" s="32">
        <v>250000</v>
      </c>
      <c r="H188" s="9"/>
      <c r="I188" s="9"/>
    </row>
    <row r="189" spans="2:9" x14ac:dyDescent="0.25">
      <c r="B189" s="51" t="s">
        <v>363</v>
      </c>
      <c r="C189" s="2" t="s">
        <v>103</v>
      </c>
      <c r="D189" s="31">
        <v>2020</v>
      </c>
      <c r="E189" s="31" t="s">
        <v>104</v>
      </c>
      <c r="F189" s="2" t="s">
        <v>102</v>
      </c>
      <c r="G189" s="32">
        <v>300000</v>
      </c>
      <c r="H189" s="9"/>
      <c r="I189" s="9"/>
    </row>
    <row r="190" spans="2:9" x14ac:dyDescent="0.25">
      <c r="B190" s="51" t="s">
        <v>364</v>
      </c>
      <c r="C190" s="2" t="s">
        <v>100</v>
      </c>
      <c r="D190" s="31">
        <v>2020</v>
      </c>
      <c r="E190" s="31" t="s">
        <v>101</v>
      </c>
      <c r="F190" s="2" t="s">
        <v>99</v>
      </c>
      <c r="G190" s="32">
        <v>85000</v>
      </c>
      <c r="H190" s="9"/>
      <c r="I190" s="9"/>
    </row>
    <row r="191" spans="2:9" x14ac:dyDescent="0.25">
      <c r="B191" s="51" t="s">
        <v>365</v>
      </c>
      <c r="C191" s="2" t="s">
        <v>97</v>
      </c>
      <c r="D191" s="31">
        <v>2020</v>
      </c>
      <c r="E191" s="31" t="s">
        <v>98</v>
      </c>
      <c r="F191" s="2" t="s">
        <v>96</v>
      </c>
      <c r="G191" s="32">
        <v>90000</v>
      </c>
      <c r="H191" s="9"/>
      <c r="I191" s="9"/>
    </row>
    <row r="192" spans="2:9" x14ac:dyDescent="0.25">
      <c r="B192" s="2" t="s">
        <v>366</v>
      </c>
      <c r="C192" s="2" t="s">
        <v>302</v>
      </c>
      <c r="D192" s="31">
        <v>1980</v>
      </c>
      <c r="E192" s="31" t="s">
        <v>175</v>
      </c>
      <c r="F192" s="32" t="s">
        <v>303</v>
      </c>
      <c r="G192" s="32">
        <v>1000000000</v>
      </c>
      <c r="H192" s="9"/>
      <c r="I192" s="9"/>
    </row>
    <row r="193" spans="2:9" x14ac:dyDescent="0.25">
      <c r="B193" s="2" t="s">
        <v>367</v>
      </c>
      <c r="C193" s="2" t="s">
        <v>304</v>
      </c>
      <c r="D193" s="31">
        <v>2005</v>
      </c>
      <c r="E193" s="31" t="s">
        <v>172</v>
      </c>
      <c r="F193" s="32" t="s">
        <v>300</v>
      </c>
      <c r="G193" s="32">
        <v>2000000000000000</v>
      </c>
      <c r="H193" s="9"/>
      <c r="I193" s="9"/>
    </row>
    <row r="194" spans="2:9" x14ac:dyDescent="0.25">
      <c r="B194" s="2" t="s">
        <v>368</v>
      </c>
      <c r="C194" s="2" t="s">
        <v>305</v>
      </c>
      <c r="D194" s="31">
        <v>2005</v>
      </c>
      <c r="E194" s="31" t="s">
        <v>169</v>
      </c>
      <c r="F194" s="32" t="s">
        <v>300</v>
      </c>
      <c r="G194" s="32">
        <v>10000000000000</v>
      </c>
      <c r="H194" s="9"/>
      <c r="I194" s="9"/>
    </row>
    <row r="195" spans="2:9" x14ac:dyDescent="0.25">
      <c r="B195" s="50" t="s">
        <v>369</v>
      </c>
      <c r="C195" s="2" t="s">
        <v>306</v>
      </c>
      <c r="D195" s="31">
        <v>2020</v>
      </c>
      <c r="E195" s="31" t="s">
        <v>151</v>
      </c>
      <c r="F195" s="2" t="s">
        <v>300</v>
      </c>
      <c r="G195" s="32">
        <v>200000000</v>
      </c>
      <c r="H195" s="9"/>
      <c r="I195" s="9"/>
    </row>
    <row r="196" spans="2:9" x14ac:dyDescent="0.25">
      <c r="B196" s="50" t="s">
        <v>370</v>
      </c>
      <c r="C196" s="2" t="s">
        <v>147</v>
      </c>
      <c r="D196" s="31">
        <v>2020</v>
      </c>
      <c r="E196" s="31" t="s">
        <v>148</v>
      </c>
      <c r="F196" s="2" t="s">
        <v>146</v>
      </c>
      <c r="G196" s="32">
        <v>700000000000</v>
      </c>
      <c r="H196" s="9"/>
      <c r="I196" s="9"/>
    </row>
    <row r="197" spans="2:9" x14ac:dyDescent="0.25">
      <c r="B197" s="51" t="s">
        <v>371</v>
      </c>
      <c r="C197" s="2" t="s">
        <v>124</v>
      </c>
      <c r="D197" s="31">
        <v>2020</v>
      </c>
      <c r="E197" s="31" t="s">
        <v>125</v>
      </c>
      <c r="F197" s="2" t="s">
        <v>123</v>
      </c>
      <c r="G197" s="32">
        <v>220000</v>
      </c>
      <c r="H197" s="9"/>
      <c r="I197" s="9"/>
    </row>
    <row r="198" spans="2:9" x14ac:dyDescent="0.25">
      <c r="B198" s="51" t="s">
        <v>372</v>
      </c>
      <c r="C198" s="2" t="s">
        <v>121</v>
      </c>
      <c r="D198" s="31">
        <v>2020</v>
      </c>
      <c r="E198" s="31" t="s">
        <v>122</v>
      </c>
      <c r="F198" s="2" t="s">
        <v>120</v>
      </c>
      <c r="G198" s="32">
        <v>240000</v>
      </c>
      <c r="H198" s="9"/>
      <c r="I198" s="9"/>
    </row>
    <row r="199" spans="2:9" x14ac:dyDescent="0.25">
      <c r="B199" s="51" t="s">
        <v>373</v>
      </c>
      <c r="C199" s="2" t="s">
        <v>118</v>
      </c>
      <c r="D199" s="31">
        <v>2020</v>
      </c>
      <c r="E199" s="31" t="s">
        <v>119</v>
      </c>
      <c r="F199" s="2" t="s">
        <v>117</v>
      </c>
      <c r="G199" s="32">
        <v>130000</v>
      </c>
      <c r="H199" s="9"/>
      <c r="I199" s="9"/>
    </row>
    <row r="200" spans="2:9" x14ac:dyDescent="0.25">
      <c r="B200" s="51" t="s">
        <v>374</v>
      </c>
      <c r="C200" s="2" t="s">
        <v>115</v>
      </c>
      <c r="D200" s="31">
        <v>2020</v>
      </c>
      <c r="E200" s="31" t="s">
        <v>116</v>
      </c>
      <c r="F200" s="2" t="s">
        <v>114</v>
      </c>
      <c r="G200" s="32">
        <v>75000</v>
      </c>
      <c r="H200" s="9"/>
      <c r="I200" s="9"/>
    </row>
    <row r="201" spans="2:9" x14ac:dyDescent="0.25">
      <c r="B201" s="51" t="s">
        <v>375</v>
      </c>
      <c r="C201" s="2" t="s">
        <v>112</v>
      </c>
      <c r="D201" s="31">
        <v>2020</v>
      </c>
      <c r="E201" s="31" t="s">
        <v>113</v>
      </c>
      <c r="F201" s="2" t="s">
        <v>111</v>
      </c>
      <c r="G201" s="32">
        <v>170000</v>
      </c>
      <c r="H201" s="9"/>
      <c r="I201" s="9"/>
    </row>
    <row r="202" spans="2:9" x14ac:dyDescent="0.25">
      <c r="B202" s="51" t="s">
        <v>376</v>
      </c>
      <c r="C202" s="2" t="s">
        <v>109</v>
      </c>
      <c r="D202" s="31">
        <v>2020</v>
      </c>
      <c r="E202" s="31" t="s">
        <v>110</v>
      </c>
      <c r="F202" s="2" t="s">
        <v>108</v>
      </c>
      <c r="G202" s="32">
        <v>160000</v>
      </c>
      <c r="H202" s="9"/>
      <c r="I202" s="9"/>
    </row>
    <row r="203" spans="2:9" x14ac:dyDescent="0.25">
      <c r="B203" s="51" t="s">
        <v>377</v>
      </c>
      <c r="C203" s="2" t="s">
        <v>106</v>
      </c>
      <c r="D203" s="31">
        <v>2020</v>
      </c>
      <c r="E203" s="31" t="s">
        <v>107</v>
      </c>
      <c r="F203" s="2" t="s">
        <v>105</v>
      </c>
      <c r="G203" s="32">
        <v>250000</v>
      </c>
      <c r="H203" s="9"/>
      <c r="I203" s="9"/>
    </row>
    <row r="204" spans="2:9" x14ac:dyDescent="0.25">
      <c r="B204" s="51" t="s">
        <v>378</v>
      </c>
      <c r="C204" s="2" t="s">
        <v>103</v>
      </c>
      <c r="D204" s="31">
        <v>2020</v>
      </c>
      <c r="E204" s="31" t="s">
        <v>104</v>
      </c>
      <c r="F204" s="2" t="s">
        <v>102</v>
      </c>
      <c r="G204" s="32">
        <v>300000</v>
      </c>
      <c r="H204" s="9"/>
      <c r="I204" s="9"/>
    </row>
    <row r="205" spans="2:9" x14ac:dyDescent="0.25">
      <c r="B205" s="51" t="s">
        <v>379</v>
      </c>
      <c r="C205" s="2" t="s">
        <v>100</v>
      </c>
      <c r="D205" s="31">
        <v>2020</v>
      </c>
      <c r="E205" s="31" t="s">
        <v>101</v>
      </c>
      <c r="F205" s="2" t="s">
        <v>99</v>
      </c>
      <c r="G205" s="32">
        <v>85000</v>
      </c>
      <c r="H205" s="9"/>
      <c r="I205" s="9"/>
    </row>
    <row r="206" spans="2:9" x14ac:dyDescent="0.25">
      <c r="B206" s="51" t="s">
        <v>380</v>
      </c>
      <c r="C206" s="2" t="s">
        <v>97</v>
      </c>
      <c r="D206" s="31">
        <v>2020</v>
      </c>
      <c r="E206" s="31" t="s">
        <v>98</v>
      </c>
      <c r="F206" s="2" t="s">
        <v>96</v>
      </c>
      <c r="G206" s="32">
        <v>90000</v>
      </c>
      <c r="H206" s="9"/>
      <c r="I206" s="9"/>
    </row>
    <row r="207" spans="2:9" x14ac:dyDescent="0.25">
      <c r="B207" s="2" t="s">
        <v>381</v>
      </c>
      <c r="C207" s="2" t="s">
        <v>307</v>
      </c>
      <c r="D207" s="31">
        <v>1980</v>
      </c>
      <c r="E207" s="31" t="s">
        <v>175</v>
      </c>
      <c r="F207" s="32" t="s">
        <v>308</v>
      </c>
      <c r="G207" s="32">
        <v>1000000000</v>
      </c>
      <c r="H207" s="9"/>
      <c r="I207" s="9"/>
    </row>
    <row r="208" spans="2:9" x14ac:dyDescent="0.25">
      <c r="B208" s="2" t="s">
        <v>382</v>
      </c>
      <c r="C208" s="2" t="s">
        <v>309</v>
      </c>
      <c r="D208" s="31">
        <v>2005</v>
      </c>
      <c r="E208" s="31" t="s">
        <v>172</v>
      </c>
      <c r="F208" s="32" t="s">
        <v>308</v>
      </c>
      <c r="G208" s="32">
        <v>2000000000000000</v>
      </c>
      <c r="H208" s="9"/>
      <c r="I208" s="9"/>
    </row>
    <row r="209" spans="2:9" x14ac:dyDescent="0.25">
      <c r="B209" s="2" t="s">
        <v>383</v>
      </c>
      <c r="C209" s="2" t="s">
        <v>310</v>
      </c>
      <c r="D209" s="31">
        <v>2005</v>
      </c>
      <c r="E209" s="31" t="s">
        <v>169</v>
      </c>
      <c r="F209" s="32" t="s">
        <v>311</v>
      </c>
      <c r="G209" s="32">
        <v>10000000000000</v>
      </c>
      <c r="H209" s="9"/>
      <c r="I209" s="9"/>
    </row>
    <row r="210" spans="2:9" x14ac:dyDescent="0.25">
      <c r="B210" s="50" t="s">
        <v>384</v>
      </c>
      <c r="C210" s="2" t="s">
        <v>299</v>
      </c>
      <c r="D210" s="31">
        <v>2020</v>
      </c>
      <c r="E210" s="31" t="s">
        <v>151</v>
      </c>
      <c r="F210" s="2" t="s">
        <v>150</v>
      </c>
      <c r="G210" s="32">
        <v>200000000</v>
      </c>
      <c r="H210" s="9"/>
      <c r="I210" s="9"/>
    </row>
    <row r="211" spans="2:9" x14ac:dyDescent="0.25">
      <c r="B211" s="50" t="s">
        <v>385</v>
      </c>
      <c r="C211" s="2" t="s">
        <v>147</v>
      </c>
      <c r="D211" s="31">
        <v>2020</v>
      </c>
      <c r="E211" s="31" t="s">
        <v>148</v>
      </c>
      <c r="F211" s="2" t="s">
        <v>146</v>
      </c>
      <c r="G211" s="32">
        <v>700000000000</v>
      </c>
      <c r="H211" s="9"/>
      <c r="I211" s="9"/>
    </row>
    <row r="212" spans="2:9" x14ac:dyDescent="0.25">
      <c r="B212" s="51" t="s">
        <v>386</v>
      </c>
      <c r="C212" s="2" t="s">
        <v>124</v>
      </c>
      <c r="D212" s="31">
        <v>2020</v>
      </c>
      <c r="E212" s="31" t="s">
        <v>125</v>
      </c>
      <c r="F212" s="2" t="s">
        <v>123</v>
      </c>
      <c r="G212" s="32">
        <v>220000</v>
      </c>
      <c r="H212" s="9"/>
      <c r="I212" s="9"/>
    </row>
    <row r="213" spans="2:9" x14ac:dyDescent="0.25">
      <c r="B213" s="51">
        <v>3435355</v>
      </c>
      <c r="C213" s="2" t="s">
        <v>121</v>
      </c>
      <c r="D213" s="31">
        <v>2020</v>
      </c>
      <c r="E213" s="31" t="s">
        <v>122</v>
      </c>
      <c r="F213" s="2" t="s">
        <v>120</v>
      </c>
      <c r="G213" s="32">
        <v>240000</v>
      </c>
      <c r="H213" s="9"/>
      <c r="I213" s="9"/>
    </row>
    <row r="214" spans="2:9" x14ac:dyDescent="0.25">
      <c r="B214" s="51" t="s">
        <v>387</v>
      </c>
      <c r="C214" s="2" t="s">
        <v>118</v>
      </c>
      <c r="D214" s="31">
        <v>2020</v>
      </c>
      <c r="E214" s="31" t="s">
        <v>119</v>
      </c>
      <c r="F214" s="2" t="s">
        <v>117</v>
      </c>
      <c r="G214" s="32">
        <v>130000</v>
      </c>
      <c r="H214" s="9"/>
      <c r="I214" s="9"/>
    </row>
    <row r="215" spans="2:9" x14ac:dyDescent="0.25">
      <c r="B215" s="51" t="s">
        <v>388</v>
      </c>
      <c r="C215" s="2" t="s">
        <v>115</v>
      </c>
      <c r="D215" s="31">
        <v>2020</v>
      </c>
      <c r="E215" s="31" t="s">
        <v>116</v>
      </c>
      <c r="F215" s="2" t="s">
        <v>114</v>
      </c>
      <c r="G215" s="32">
        <v>75000</v>
      </c>
      <c r="H215" s="9"/>
      <c r="I215" s="9"/>
    </row>
    <row r="216" spans="2:9" x14ac:dyDescent="0.25">
      <c r="B216" s="51" t="s">
        <v>389</v>
      </c>
      <c r="C216" s="2" t="s">
        <v>112</v>
      </c>
      <c r="D216" s="31">
        <v>2020</v>
      </c>
      <c r="E216" s="31" t="s">
        <v>113</v>
      </c>
      <c r="F216" s="2" t="s">
        <v>111</v>
      </c>
      <c r="G216" s="32">
        <v>170000</v>
      </c>
      <c r="H216" s="9"/>
      <c r="I216" s="9"/>
    </row>
    <row r="217" spans="2:9" x14ac:dyDescent="0.25">
      <c r="B217" s="51" t="s">
        <v>390</v>
      </c>
      <c r="C217" s="2" t="s">
        <v>109</v>
      </c>
      <c r="D217" s="31">
        <v>2020</v>
      </c>
      <c r="E217" s="31" t="s">
        <v>110</v>
      </c>
      <c r="F217" s="2" t="s">
        <v>108</v>
      </c>
      <c r="G217" s="32">
        <v>160000</v>
      </c>
      <c r="H217" s="9"/>
      <c r="I217" s="9"/>
    </row>
    <row r="218" spans="2:9" x14ac:dyDescent="0.25">
      <c r="B218" s="51" t="s">
        <v>391</v>
      </c>
      <c r="C218" s="2" t="s">
        <v>106</v>
      </c>
      <c r="D218" s="31">
        <v>2020</v>
      </c>
      <c r="E218" s="31" t="s">
        <v>107</v>
      </c>
      <c r="F218" s="2" t="s">
        <v>105</v>
      </c>
      <c r="G218" s="32">
        <v>250000</v>
      </c>
      <c r="H218" s="9"/>
      <c r="I218" s="9"/>
    </row>
    <row r="219" spans="2:9" x14ac:dyDescent="0.25">
      <c r="B219" s="51" t="s">
        <v>392</v>
      </c>
      <c r="C219" s="2" t="s">
        <v>103</v>
      </c>
      <c r="D219" s="31">
        <v>2020</v>
      </c>
      <c r="E219" s="31" t="s">
        <v>104</v>
      </c>
      <c r="F219" s="2" t="s">
        <v>102</v>
      </c>
      <c r="G219" s="32">
        <v>300000</v>
      </c>
      <c r="H219" s="9"/>
      <c r="I219" s="9"/>
    </row>
    <row r="220" spans="2:9" x14ac:dyDescent="0.25">
      <c r="B220" s="51" t="s">
        <v>393</v>
      </c>
      <c r="C220" s="2" t="s">
        <v>100</v>
      </c>
      <c r="D220" s="31">
        <v>2020</v>
      </c>
      <c r="E220" s="31" t="s">
        <v>101</v>
      </c>
      <c r="F220" s="2" t="s">
        <v>99</v>
      </c>
      <c r="G220" s="32">
        <v>85000</v>
      </c>
      <c r="H220" s="9"/>
      <c r="I220" s="9"/>
    </row>
    <row r="221" spans="2:9" x14ac:dyDescent="0.25">
      <c r="B221" s="51" t="s">
        <v>394</v>
      </c>
      <c r="C221" s="2" t="s">
        <v>97</v>
      </c>
      <c r="D221" s="31">
        <v>2020</v>
      </c>
      <c r="E221" s="31" t="s">
        <v>98</v>
      </c>
      <c r="F221" s="2" t="s">
        <v>96</v>
      </c>
      <c r="G221" s="32">
        <v>90000</v>
      </c>
      <c r="H221" s="9"/>
      <c r="I221" s="9"/>
    </row>
    <row r="222" spans="2:9" x14ac:dyDescent="0.25">
      <c r="B222" s="9"/>
      <c r="C222" s="9"/>
      <c r="D222" s="9"/>
      <c r="E222" s="9"/>
      <c r="F222" s="9"/>
      <c r="G222" s="9"/>
      <c r="H222" s="9"/>
      <c r="I222" s="9"/>
    </row>
    <row r="223" spans="2:9" x14ac:dyDescent="0.25">
      <c r="B223" s="9"/>
      <c r="C223" s="9"/>
      <c r="D223" s="9"/>
      <c r="E223" s="9"/>
      <c r="F223" s="9"/>
      <c r="G223" s="9"/>
      <c r="H223" s="9"/>
      <c r="I223" s="9"/>
    </row>
    <row r="224" spans="2:9" x14ac:dyDescent="0.25">
      <c r="B224" s="9"/>
      <c r="C224" s="9"/>
      <c r="D224" s="9"/>
      <c r="E224" s="9"/>
      <c r="F224" s="9"/>
      <c r="G224" s="9"/>
      <c r="H224" s="9"/>
      <c r="I224" s="9"/>
    </row>
    <row r="225" spans="2:9" x14ac:dyDescent="0.25">
      <c r="B225" s="9"/>
      <c r="C225" s="9"/>
      <c r="D225" s="9"/>
      <c r="E225" s="9"/>
      <c r="F225" s="9"/>
      <c r="G225" s="9"/>
      <c r="H225" s="9"/>
      <c r="I225" s="9"/>
    </row>
    <row r="226" spans="2:9" x14ac:dyDescent="0.25">
      <c r="B226" s="9"/>
      <c r="C226" s="9"/>
      <c r="D226" s="9"/>
      <c r="E226" s="9"/>
      <c r="F226" s="9"/>
      <c r="G226" s="9"/>
      <c r="H226" s="9"/>
      <c r="I226" s="9"/>
    </row>
    <row r="227" spans="2:9" x14ac:dyDescent="0.25">
      <c r="B227" s="9"/>
      <c r="C227" s="9"/>
      <c r="D227" s="9"/>
      <c r="E227" s="9"/>
      <c r="F227" s="9"/>
      <c r="G227" s="9"/>
      <c r="H227" s="9"/>
      <c r="I227" s="9"/>
    </row>
    <row r="228" spans="2:9" x14ac:dyDescent="0.25">
      <c r="B228" s="9"/>
      <c r="C228" s="9"/>
      <c r="D228" s="9"/>
      <c r="E228" s="9"/>
      <c r="F228" s="9"/>
      <c r="G228" s="9"/>
      <c r="H228" s="9"/>
      <c r="I228" s="9"/>
    </row>
    <row r="229" spans="2:9" x14ac:dyDescent="0.25">
      <c r="B229" s="9"/>
      <c r="C229" s="9"/>
      <c r="D229" s="9"/>
      <c r="E229" s="9"/>
      <c r="F229" s="9"/>
      <c r="G229" s="9"/>
      <c r="H229" s="9"/>
      <c r="I229" s="9"/>
    </row>
    <row r="230" spans="2:9" x14ac:dyDescent="0.25">
      <c r="B230" s="9"/>
      <c r="C230" s="9"/>
      <c r="D230" s="9"/>
      <c r="E230" s="9"/>
      <c r="F230" s="9"/>
      <c r="G230" s="9"/>
      <c r="H230" s="9"/>
      <c r="I230" s="9"/>
    </row>
    <row r="231" spans="2:9" x14ac:dyDescent="0.25">
      <c r="B231" s="9"/>
      <c r="C231" s="9"/>
      <c r="D231" s="9"/>
      <c r="E231" s="9"/>
      <c r="F231" s="9"/>
      <c r="G231" s="9"/>
      <c r="H231" s="9"/>
      <c r="I231" s="9"/>
    </row>
    <row r="232" spans="2:9" x14ac:dyDescent="0.25">
      <c r="B232" s="9"/>
      <c r="C232" s="9"/>
      <c r="D232" s="9"/>
      <c r="E232" s="9"/>
      <c r="F232" s="9"/>
      <c r="G232" s="9"/>
      <c r="H232" s="9"/>
      <c r="I232" s="9"/>
    </row>
    <row r="233" spans="2:9" x14ac:dyDescent="0.25">
      <c r="B233" s="9"/>
      <c r="C233" s="9"/>
      <c r="D233" s="9"/>
      <c r="E233" s="9"/>
      <c r="F233" s="9"/>
      <c r="G233" s="9"/>
      <c r="H233" s="9"/>
      <c r="I233" s="9"/>
    </row>
    <row r="234" spans="2:9" x14ac:dyDescent="0.25">
      <c r="B234" s="9"/>
      <c r="C234" s="9"/>
      <c r="D234" s="9"/>
      <c r="E234" s="9"/>
      <c r="F234" s="9"/>
      <c r="G234" s="9"/>
      <c r="H234" s="9"/>
      <c r="I234" s="9"/>
    </row>
    <row r="235" spans="2:9" x14ac:dyDescent="0.25">
      <c r="B235" s="9"/>
      <c r="C235" s="9"/>
      <c r="D235" s="9"/>
      <c r="E235" s="9"/>
      <c r="F235" s="9"/>
      <c r="G235" s="9"/>
      <c r="H235" s="9"/>
      <c r="I235" s="9"/>
    </row>
    <row r="236" spans="2:9" x14ac:dyDescent="0.25">
      <c r="B236" s="9"/>
      <c r="C236" s="9"/>
      <c r="D236" s="9"/>
      <c r="E236" s="9"/>
      <c r="F236" s="9"/>
      <c r="G236" s="9"/>
      <c r="H236" s="9"/>
      <c r="I236" s="9"/>
    </row>
    <row r="237" spans="2:9" x14ac:dyDescent="0.25">
      <c r="B237" s="9"/>
      <c r="C237" s="9"/>
      <c r="D237" s="9"/>
      <c r="E237" s="9"/>
      <c r="F237" s="9"/>
      <c r="G237" s="9"/>
      <c r="H237" s="9"/>
      <c r="I237" s="9"/>
    </row>
    <row r="238" spans="2:9" x14ac:dyDescent="0.25">
      <c r="B238" s="9"/>
      <c r="C238" s="9"/>
      <c r="D238" s="9"/>
      <c r="E238" s="9"/>
      <c r="F238" s="9"/>
      <c r="G238" s="9"/>
      <c r="H238" s="9"/>
      <c r="I238" s="9"/>
    </row>
    <row r="239" spans="2:9" x14ac:dyDescent="0.25">
      <c r="B239" s="9"/>
      <c r="C239" s="9"/>
      <c r="D239" s="9"/>
      <c r="E239" s="9"/>
      <c r="F239" s="9"/>
      <c r="G239" s="9"/>
      <c r="H239" s="9"/>
      <c r="I239" s="9"/>
    </row>
    <row r="240" spans="2:9" x14ac:dyDescent="0.25">
      <c r="B240" s="9"/>
      <c r="C240" s="9"/>
      <c r="D240" s="9"/>
      <c r="E240" s="9"/>
      <c r="F240" s="9"/>
      <c r="G240" s="9"/>
      <c r="H240" s="9"/>
      <c r="I240" s="9"/>
    </row>
    <row r="241" spans="2:9" x14ac:dyDescent="0.25">
      <c r="B241" s="9"/>
      <c r="C241" s="9"/>
      <c r="D241" s="9"/>
      <c r="E241" s="9"/>
      <c r="F241" s="9"/>
      <c r="G241" s="9"/>
      <c r="H241" s="9"/>
      <c r="I241" s="9"/>
    </row>
    <row r="242" spans="2:9" x14ac:dyDescent="0.25">
      <c r="B242" s="9"/>
      <c r="C242" s="9"/>
      <c r="D242" s="9"/>
      <c r="E242" s="9"/>
      <c r="F242" s="9"/>
      <c r="G242" s="9"/>
      <c r="H242" s="9"/>
      <c r="I242" s="9"/>
    </row>
    <row r="243" spans="2:9" x14ac:dyDescent="0.25">
      <c r="B243" s="9"/>
      <c r="C243" s="9"/>
      <c r="D243" s="9"/>
      <c r="E243" s="9"/>
      <c r="F243" s="9"/>
      <c r="G243" s="9"/>
      <c r="H243" s="9"/>
      <c r="I243" s="9"/>
    </row>
    <row r="244" spans="2:9" x14ac:dyDescent="0.25">
      <c r="B244" s="9"/>
      <c r="C244" s="9"/>
      <c r="D244" s="9"/>
      <c r="E244" s="9"/>
      <c r="F244" s="9"/>
      <c r="G244" s="9"/>
      <c r="H244" s="9"/>
      <c r="I244" s="9"/>
    </row>
    <row r="245" spans="2:9" x14ac:dyDescent="0.25">
      <c r="B245" s="9"/>
      <c r="C245" s="9"/>
      <c r="D245" s="9"/>
      <c r="E245" s="9"/>
      <c r="F245" s="9"/>
      <c r="G245" s="9"/>
      <c r="H245" s="9"/>
      <c r="I245" s="9"/>
    </row>
    <row r="246" spans="2:9" x14ac:dyDescent="0.25">
      <c r="B246" s="9"/>
      <c r="C246" s="9"/>
      <c r="D246" s="9"/>
      <c r="E246" s="9"/>
      <c r="F246" s="9"/>
      <c r="G246" s="9"/>
      <c r="H246" s="9"/>
      <c r="I246" s="9"/>
    </row>
    <row r="247" spans="2:9" x14ac:dyDescent="0.25">
      <c r="B247" s="9"/>
      <c r="C247" s="9"/>
      <c r="D247" s="9"/>
      <c r="E247" s="9"/>
      <c r="F247" s="9"/>
      <c r="G247" s="9"/>
      <c r="H247" s="9"/>
      <c r="I247" s="9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D3D7B-26FE-4F72-9386-55BBA8F04B94}">
  <sheetPr codeName="Planilha3"/>
  <dimension ref="B1:Q552"/>
  <sheetViews>
    <sheetView showGridLines="0" topLeftCell="A7" workbookViewId="0">
      <selection activeCell="C20" sqref="C20"/>
    </sheetView>
  </sheetViews>
  <sheetFormatPr defaultRowHeight="15" x14ac:dyDescent="0.25"/>
  <cols>
    <col min="2" max="2" width="10.28515625" customWidth="1"/>
    <col min="3" max="3" width="73.140625" customWidth="1"/>
    <col min="4" max="4" width="10.85546875" bestFit="1" customWidth="1"/>
    <col min="6" max="6" width="11" customWidth="1"/>
    <col min="7" max="7" width="40.5703125" bestFit="1" customWidth="1"/>
    <col min="9" max="9" width="15" customWidth="1"/>
  </cols>
  <sheetData>
    <row r="1" spans="2:17" ht="32.25" x14ac:dyDescent="0.4">
      <c r="B1" s="8"/>
      <c r="C1" s="9"/>
      <c r="D1" s="9"/>
      <c r="E1" s="9"/>
      <c r="F1" s="9"/>
      <c r="G1" s="9"/>
      <c r="H1" s="9"/>
      <c r="I1" s="9"/>
      <c r="J1" s="9"/>
      <c r="K1" s="9"/>
      <c r="L1" s="1"/>
      <c r="M1" s="1"/>
      <c r="N1" s="1"/>
      <c r="O1" s="1"/>
      <c r="P1" s="1"/>
      <c r="Q1" s="1"/>
    </row>
    <row r="4" spans="2:17" x14ac:dyDescent="0.25">
      <c r="B4" s="15" t="s">
        <v>0</v>
      </c>
      <c r="C4" s="26"/>
    </row>
    <row r="5" spans="2:17" x14ac:dyDescent="0.25">
      <c r="B5" s="15" t="s">
        <v>1</v>
      </c>
      <c r="C5" s="26"/>
    </row>
    <row r="6" spans="2:17" x14ac:dyDescent="0.25">
      <c r="B6" s="16" t="s">
        <v>8</v>
      </c>
      <c r="C6" s="26"/>
    </row>
    <row r="7" spans="2:17" x14ac:dyDescent="0.25">
      <c r="B7" s="17" t="s">
        <v>5</v>
      </c>
      <c r="C7" s="26"/>
    </row>
    <row r="8" spans="2:17" x14ac:dyDescent="0.25">
      <c r="B8" s="18" t="s">
        <v>9</v>
      </c>
      <c r="C8" s="26"/>
    </row>
    <row r="9" spans="2:17" x14ac:dyDescent="0.25">
      <c r="B9" s="19" t="s">
        <v>11</v>
      </c>
      <c r="C9" s="27"/>
    </row>
    <row r="15" spans="2:17" x14ac:dyDescent="0.25">
      <c r="B15" s="20" t="s">
        <v>12</v>
      </c>
      <c r="C15" s="20" t="s">
        <v>13</v>
      </c>
      <c r="D15" s="20" t="s">
        <v>2</v>
      </c>
      <c r="E15" s="20" t="s">
        <v>26</v>
      </c>
      <c r="F15" s="20" t="s">
        <v>15</v>
      </c>
      <c r="G15" s="20" t="s">
        <v>10</v>
      </c>
      <c r="H15" s="30"/>
      <c r="I15" s="30"/>
    </row>
    <row r="16" spans="2:17" x14ac:dyDescent="0.25">
      <c r="B16" s="26">
        <v>9999222</v>
      </c>
      <c r="C16" s="26" t="s">
        <v>94</v>
      </c>
      <c r="D16" s="26" t="s">
        <v>83</v>
      </c>
      <c r="E16" s="26">
        <v>871364</v>
      </c>
      <c r="F16" s="26">
        <v>18721642</v>
      </c>
      <c r="G16" s="27" t="s">
        <v>95</v>
      </c>
      <c r="H16" s="30"/>
      <c r="I16" s="30"/>
    </row>
    <row r="17" spans="2:9" x14ac:dyDescent="0.25">
      <c r="B17" s="26">
        <v>9461213</v>
      </c>
      <c r="C17" s="26" t="s">
        <v>91</v>
      </c>
      <c r="D17" s="26" t="s">
        <v>92</v>
      </c>
      <c r="E17" s="26">
        <v>218736</v>
      </c>
      <c r="F17" s="26">
        <v>1824712143</v>
      </c>
      <c r="G17" s="27" t="s">
        <v>93</v>
      </c>
      <c r="H17" s="30"/>
      <c r="I17" s="30"/>
    </row>
    <row r="18" spans="2:9" x14ac:dyDescent="0.25">
      <c r="B18" s="26">
        <v>128634</v>
      </c>
      <c r="C18" s="26" t="s">
        <v>88</v>
      </c>
      <c r="D18" s="26" t="s">
        <v>89</v>
      </c>
      <c r="E18" s="26">
        <v>217863</v>
      </c>
      <c r="F18" s="26">
        <v>18624786</v>
      </c>
      <c r="G18" s="27" t="s">
        <v>90</v>
      </c>
      <c r="H18" s="30"/>
      <c r="I18" s="30"/>
    </row>
    <row r="19" spans="2:9" x14ac:dyDescent="0.25">
      <c r="B19" s="26">
        <v>12421312</v>
      </c>
      <c r="C19" s="26" t="s">
        <v>85</v>
      </c>
      <c r="D19" s="26" t="s">
        <v>86</v>
      </c>
      <c r="E19" s="26">
        <v>192462</v>
      </c>
      <c r="F19" s="26">
        <v>182734127</v>
      </c>
      <c r="G19" s="27" t="s">
        <v>87</v>
      </c>
      <c r="H19" s="30"/>
      <c r="I19" s="30"/>
    </row>
    <row r="20" spans="2:9" x14ac:dyDescent="0.25">
      <c r="B20" s="26">
        <v>18723421</v>
      </c>
      <c r="C20" s="26" t="s">
        <v>82</v>
      </c>
      <c r="D20" s="26" t="s">
        <v>83</v>
      </c>
      <c r="E20" s="26">
        <v>1278436</v>
      </c>
      <c r="F20" s="26">
        <v>18666666</v>
      </c>
      <c r="G20" s="27" t="s">
        <v>84</v>
      </c>
      <c r="H20" s="30"/>
      <c r="I20" s="30"/>
    </row>
    <row r="21" spans="2:9" x14ac:dyDescent="0.25">
      <c r="B21" s="26">
        <v>9861722</v>
      </c>
      <c r="C21" s="26" t="s">
        <v>79</v>
      </c>
      <c r="D21" s="26" t="s">
        <v>80</v>
      </c>
      <c r="E21" s="26">
        <v>218763</v>
      </c>
      <c r="F21" s="26">
        <v>18772772</v>
      </c>
      <c r="G21" s="27" t="s">
        <v>81</v>
      </c>
      <c r="H21" s="30"/>
      <c r="I21" s="30"/>
    </row>
    <row r="22" spans="2:9" x14ac:dyDescent="0.25">
      <c r="B22" s="26">
        <v>92956781</v>
      </c>
      <c r="C22" s="26" t="s">
        <v>76</v>
      </c>
      <c r="D22" s="26" t="s">
        <v>77</v>
      </c>
      <c r="E22" s="26">
        <v>12863</v>
      </c>
      <c r="F22" s="26">
        <v>185526572</v>
      </c>
      <c r="G22" s="27" t="s">
        <v>78</v>
      </c>
      <c r="H22" s="30"/>
      <c r="I22" s="30"/>
    </row>
    <row r="23" spans="2:9" x14ac:dyDescent="0.25">
      <c r="B23" s="26">
        <v>40028922</v>
      </c>
      <c r="C23" s="26" t="s">
        <v>73</v>
      </c>
      <c r="D23" s="26" t="s">
        <v>74</v>
      </c>
      <c r="E23" s="26">
        <v>2134</v>
      </c>
      <c r="F23" s="26">
        <v>1840028922</v>
      </c>
      <c r="G23" s="27" t="s">
        <v>75</v>
      </c>
      <c r="H23" s="30"/>
      <c r="I23" s="30"/>
    </row>
    <row r="24" spans="2:9" x14ac:dyDescent="0.25">
      <c r="B24" s="26">
        <v>123412</v>
      </c>
      <c r="C24" s="26" t="s">
        <v>70</v>
      </c>
      <c r="D24" s="26" t="s">
        <v>71</v>
      </c>
      <c r="E24" s="26">
        <v>129346</v>
      </c>
      <c r="F24" s="26">
        <v>21947129743</v>
      </c>
      <c r="G24" s="27" t="s">
        <v>72</v>
      </c>
      <c r="H24" s="30"/>
      <c r="I24" s="30"/>
    </row>
    <row r="25" spans="2:9" x14ac:dyDescent="0.25">
      <c r="B25" s="26">
        <v>1241241</v>
      </c>
      <c r="C25" s="26" t="s">
        <v>66</v>
      </c>
      <c r="D25" s="26" t="s">
        <v>67</v>
      </c>
      <c r="E25" s="26" t="s">
        <v>68</v>
      </c>
      <c r="F25" s="26">
        <v>12985341</v>
      </c>
      <c r="G25" s="27" t="s">
        <v>69</v>
      </c>
      <c r="H25" s="30"/>
      <c r="I25" s="30"/>
    </row>
    <row r="26" spans="2:9" x14ac:dyDescent="0.25">
      <c r="B26" s="2"/>
      <c r="C26" s="2"/>
      <c r="D26" s="2"/>
      <c r="E26" s="2"/>
      <c r="F26" s="2"/>
      <c r="G26" s="2"/>
      <c r="H26" s="30"/>
      <c r="I26" s="30"/>
    </row>
    <row r="27" spans="2:9" x14ac:dyDescent="0.25">
      <c r="B27" s="2"/>
      <c r="C27" s="2"/>
      <c r="D27" s="2"/>
      <c r="E27" s="2"/>
      <c r="F27" s="2"/>
      <c r="G27" s="2"/>
      <c r="H27" s="30"/>
      <c r="I27" s="30"/>
    </row>
    <row r="28" spans="2:9" x14ac:dyDescent="0.25">
      <c r="B28" s="2"/>
      <c r="C28" s="2"/>
      <c r="D28" s="2"/>
      <c r="E28" s="2"/>
      <c r="F28" s="2"/>
      <c r="G28" s="2"/>
      <c r="H28" s="30"/>
      <c r="I28" s="30"/>
    </row>
    <row r="29" spans="2:9" x14ac:dyDescent="0.25">
      <c r="B29" s="9"/>
      <c r="C29" s="9"/>
      <c r="D29" s="9"/>
      <c r="E29" s="9"/>
      <c r="F29" s="9"/>
      <c r="G29" s="9"/>
      <c r="H29" s="9"/>
      <c r="I29" s="9"/>
    </row>
    <row r="30" spans="2:9" x14ac:dyDescent="0.25">
      <c r="B30" s="9"/>
      <c r="C30" s="9"/>
      <c r="D30" s="9"/>
      <c r="E30" s="9"/>
      <c r="F30" s="9"/>
      <c r="G30" s="9"/>
      <c r="H30" s="9"/>
      <c r="I30" s="9"/>
    </row>
    <row r="31" spans="2:9" x14ac:dyDescent="0.25">
      <c r="B31" s="9"/>
      <c r="C31" s="9"/>
      <c r="D31" s="9"/>
      <c r="E31" s="9"/>
      <c r="F31" s="9"/>
      <c r="G31" s="9"/>
      <c r="H31" s="9"/>
      <c r="I31" s="9"/>
    </row>
    <row r="32" spans="2:9" x14ac:dyDescent="0.25">
      <c r="B32" s="9"/>
      <c r="C32" s="9"/>
      <c r="D32" s="9"/>
      <c r="E32" s="9"/>
      <c r="F32" s="9"/>
      <c r="G32" s="9"/>
      <c r="H32" s="9"/>
      <c r="I32" s="9"/>
    </row>
    <row r="33" spans="2:9" x14ac:dyDescent="0.25">
      <c r="B33" s="9"/>
      <c r="C33" s="9"/>
      <c r="D33" s="9"/>
      <c r="E33" s="9"/>
      <c r="F33" s="9"/>
      <c r="G33" s="9"/>
      <c r="H33" s="9"/>
      <c r="I33" s="9"/>
    </row>
    <row r="34" spans="2:9" x14ac:dyDescent="0.25">
      <c r="B34" s="9"/>
      <c r="C34" s="9"/>
      <c r="D34" s="9"/>
      <c r="E34" s="9"/>
      <c r="F34" s="9"/>
      <c r="G34" s="9"/>
      <c r="H34" s="9"/>
      <c r="I34" s="9"/>
    </row>
    <row r="35" spans="2:9" x14ac:dyDescent="0.25">
      <c r="B35" s="9"/>
      <c r="C35" s="9"/>
      <c r="D35" s="9"/>
      <c r="E35" s="9"/>
      <c r="F35" s="9"/>
      <c r="G35" s="9"/>
      <c r="H35" s="9"/>
      <c r="I35" s="9"/>
    </row>
    <row r="36" spans="2:9" x14ac:dyDescent="0.25">
      <c r="B36" s="9"/>
      <c r="C36" s="9"/>
      <c r="D36" s="9"/>
      <c r="E36" s="9"/>
      <c r="F36" s="9"/>
      <c r="G36" s="9"/>
      <c r="H36" s="9"/>
      <c r="I36" s="9"/>
    </row>
    <row r="37" spans="2:9" x14ac:dyDescent="0.25">
      <c r="B37" s="9"/>
      <c r="C37" s="9"/>
      <c r="D37" s="9"/>
      <c r="E37" s="9"/>
      <c r="F37" s="9"/>
      <c r="G37" s="9"/>
      <c r="H37" s="9"/>
      <c r="I37" s="9"/>
    </row>
    <row r="38" spans="2:9" x14ac:dyDescent="0.25">
      <c r="B38" s="9"/>
      <c r="C38" s="9"/>
      <c r="D38" s="9"/>
      <c r="E38" s="9"/>
      <c r="F38" s="9"/>
      <c r="G38" s="9"/>
      <c r="H38" s="9"/>
      <c r="I38" s="9"/>
    </row>
    <row r="39" spans="2:9" x14ac:dyDescent="0.25">
      <c r="B39" s="9"/>
      <c r="C39" s="9"/>
      <c r="D39" s="9"/>
      <c r="E39" s="9"/>
      <c r="F39" s="9"/>
      <c r="G39" s="9"/>
      <c r="H39" s="9"/>
      <c r="I39" s="9"/>
    </row>
    <row r="40" spans="2:9" x14ac:dyDescent="0.25">
      <c r="B40" s="9"/>
      <c r="C40" s="9"/>
      <c r="D40" s="9"/>
      <c r="E40" s="9"/>
      <c r="F40" s="9"/>
      <c r="G40" s="9"/>
      <c r="H40" s="9"/>
      <c r="I40" s="9"/>
    </row>
    <row r="41" spans="2:9" x14ac:dyDescent="0.25">
      <c r="B41" s="9"/>
      <c r="C41" s="9"/>
      <c r="D41" s="9"/>
      <c r="E41" s="9"/>
      <c r="F41" s="9"/>
      <c r="G41" s="9"/>
      <c r="H41" s="9"/>
      <c r="I41" s="9"/>
    </row>
    <row r="42" spans="2:9" x14ac:dyDescent="0.25">
      <c r="B42" s="9"/>
      <c r="C42" s="9"/>
      <c r="D42" s="9"/>
      <c r="E42" s="9"/>
      <c r="F42" s="9"/>
      <c r="G42" s="9"/>
      <c r="H42" s="9"/>
      <c r="I42" s="9"/>
    </row>
    <row r="43" spans="2:9" x14ac:dyDescent="0.25">
      <c r="B43" s="9"/>
      <c r="C43" s="9"/>
      <c r="D43" s="9"/>
      <c r="E43" s="9"/>
      <c r="F43" s="9"/>
      <c r="G43" s="9"/>
      <c r="H43" s="9"/>
      <c r="I43" s="9"/>
    </row>
    <row r="44" spans="2:9" x14ac:dyDescent="0.25">
      <c r="B44" s="9"/>
      <c r="C44" s="9"/>
      <c r="D44" s="9"/>
      <c r="E44" s="9"/>
      <c r="F44" s="9"/>
      <c r="G44" s="9"/>
      <c r="H44" s="9"/>
      <c r="I44" s="9"/>
    </row>
    <row r="45" spans="2:9" x14ac:dyDescent="0.25">
      <c r="B45" s="9"/>
      <c r="C45" s="9"/>
      <c r="D45" s="9"/>
      <c r="E45" s="9"/>
      <c r="F45" s="9"/>
      <c r="G45" s="9"/>
      <c r="H45" s="9"/>
      <c r="I45" s="9"/>
    </row>
    <row r="46" spans="2:9" x14ac:dyDescent="0.25">
      <c r="B46" s="9"/>
      <c r="C46" s="9"/>
      <c r="D46" s="9"/>
      <c r="E46" s="9"/>
      <c r="F46" s="9"/>
      <c r="G46" s="9"/>
      <c r="H46" s="9"/>
      <c r="I46" s="9"/>
    </row>
    <row r="47" spans="2:9" x14ac:dyDescent="0.25">
      <c r="B47" s="9"/>
      <c r="C47" s="9"/>
      <c r="D47" s="9"/>
      <c r="E47" s="9"/>
      <c r="F47" s="9"/>
      <c r="G47" s="9"/>
      <c r="H47" s="9"/>
      <c r="I47" s="9"/>
    </row>
    <row r="48" spans="2:9" x14ac:dyDescent="0.25">
      <c r="B48" s="9"/>
      <c r="C48" s="9"/>
      <c r="D48" s="9"/>
      <c r="E48" s="9"/>
      <c r="F48" s="9"/>
      <c r="G48" s="9"/>
      <c r="H48" s="9"/>
      <c r="I48" s="9"/>
    </row>
    <row r="49" spans="2:9" x14ac:dyDescent="0.25">
      <c r="B49" s="9"/>
      <c r="C49" s="9"/>
      <c r="D49" s="9"/>
      <c r="E49" s="9"/>
      <c r="F49" s="9"/>
      <c r="G49" s="9"/>
      <c r="H49" s="9"/>
      <c r="I49" s="9"/>
    </row>
    <row r="50" spans="2:9" x14ac:dyDescent="0.25">
      <c r="B50" s="9"/>
      <c r="C50" s="9"/>
      <c r="D50" s="9"/>
      <c r="E50" s="9"/>
      <c r="F50" s="9"/>
      <c r="G50" s="9"/>
      <c r="H50" s="9"/>
      <c r="I50" s="9"/>
    </row>
    <row r="51" spans="2:9" x14ac:dyDescent="0.25">
      <c r="B51" s="9"/>
      <c r="C51" s="9"/>
      <c r="D51" s="9"/>
      <c r="E51" s="9"/>
      <c r="F51" s="9"/>
      <c r="G51" s="9"/>
      <c r="H51" s="9"/>
      <c r="I51" s="9"/>
    </row>
    <row r="52" spans="2:9" x14ac:dyDescent="0.25">
      <c r="B52" s="9"/>
      <c r="C52" s="9"/>
      <c r="D52" s="9"/>
      <c r="E52" s="9"/>
      <c r="F52" s="9"/>
      <c r="G52" s="9"/>
      <c r="H52" s="9"/>
      <c r="I52" s="9"/>
    </row>
    <row r="53" spans="2:9" x14ac:dyDescent="0.25">
      <c r="B53" s="9"/>
      <c r="C53" s="9"/>
      <c r="D53" s="9"/>
      <c r="E53" s="9"/>
      <c r="F53" s="9"/>
      <c r="G53" s="9"/>
      <c r="H53" s="9"/>
      <c r="I53" s="9"/>
    </row>
    <row r="54" spans="2:9" x14ac:dyDescent="0.25">
      <c r="B54" s="9"/>
      <c r="C54" s="9"/>
      <c r="D54" s="9"/>
      <c r="E54" s="9"/>
      <c r="F54" s="9"/>
      <c r="G54" s="9"/>
      <c r="H54" s="9"/>
      <c r="I54" s="9"/>
    </row>
    <row r="55" spans="2:9" x14ac:dyDescent="0.25">
      <c r="B55" s="9"/>
      <c r="C55" s="9"/>
      <c r="D55" s="9"/>
      <c r="E55" s="9"/>
      <c r="F55" s="9"/>
      <c r="G55" s="9"/>
      <c r="H55" s="9"/>
      <c r="I55" s="9"/>
    </row>
    <row r="56" spans="2:9" x14ac:dyDescent="0.25">
      <c r="B56" s="9"/>
      <c r="C56" s="9"/>
      <c r="D56" s="9"/>
      <c r="E56" s="9"/>
      <c r="F56" s="9"/>
      <c r="G56" s="9"/>
      <c r="H56" s="9"/>
      <c r="I56" s="9"/>
    </row>
    <row r="57" spans="2:9" x14ac:dyDescent="0.25">
      <c r="B57" s="9"/>
      <c r="C57" s="9"/>
      <c r="D57" s="9"/>
      <c r="E57" s="9"/>
      <c r="F57" s="9"/>
      <c r="G57" s="9"/>
      <c r="H57" s="9"/>
      <c r="I57" s="9"/>
    </row>
    <row r="58" spans="2:9" x14ac:dyDescent="0.25">
      <c r="B58" s="9"/>
      <c r="C58" s="9"/>
      <c r="D58" s="9"/>
      <c r="E58" s="9"/>
      <c r="F58" s="9"/>
      <c r="G58" s="9"/>
      <c r="H58" s="9"/>
      <c r="I58" s="9"/>
    </row>
    <row r="59" spans="2:9" x14ac:dyDescent="0.25">
      <c r="B59" s="9"/>
      <c r="C59" s="9"/>
      <c r="D59" s="9"/>
      <c r="E59" s="9"/>
      <c r="F59" s="9"/>
      <c r="G59" s="9"/>
      <c r="H59" s="9"/>
      <c r="I59" s="9"/>
    </row>
    <row r="60" spans="2:9" x14ac:dyDescent="0.25">
      <c r="B60" s="9"/>
      <c r="C60" s="9"/>
      <c r="D60" s="9"/>
      <c r="E60" s="9"/>
      <c r="F60" s="9"/>
      <c r="G60" s="9"/>
      <c r="H60" s="9"/>
      <c r="I60" s="9"/>
    </row>
    <row r="61" spans="2:9" x14ac:dyDescent="0.25">
      <c r="B61" s="9"/>
      <c r="C61" s="9"/>
      <c r="D61" s="9"/>
      <c r="E61" s="9"/>
      <c r="F61" s="9"/>
      <c r="G61" s="9"/>
      <c r="H61" s="9"/>
      <c r="I61" s="9"/>
    </row>
    <row r="62" spans="2:9" x14ac:dyDescent="0.25">
      <c r="B62" s="9"/>
      <c r="C62" s="9"/>
      <c r="D62" s="9"/>
      <c r="E62" s="9"/>
      <c r="F62" s="9"/>
      <c r="G62" s="9"/>
      <c r="H62" s="9"/>
      <c r="I62" s="9"/>
    </row>
    <row r="63" spans="2:9" x14ac:dyDescent="0.25">
      <c r="B63" s="9"/>
      <c r="C63" s="9"/>
      <c r="D63" s="9"/>
      <c r="E63" s="9"/>
      <c r="F63" s="9"/>
      <c r="G63" s="9"/>
      <c r="H63" s="9"/>
      <c r="I63" s="9"/>
    </row>
    <row r="64" spans="2:9" x14ac:dyDescent="0.25">
      <c r="B64" s="9"/>
      <c r="C64" s="9"/>
      <c r="D64" s="9"/>
      <c r="E64" s="9"/>
      <c r="F64" s="9"/>
      <c r="G64" s="9"/>
      <c r="H64" s="9"/>
      <c r="I64" s="9"/>
    </row>
    <row r="65" spans="2:9" x14ac:dyDescent="0.25">
      <c r="B65" s="9"/>
      <c r="C65" s="9"/>
      <c r="D65" s="9"/>
      <c r="E65" s="9"/>
      <c r="F65" s="9"/>
      <c r="G65" s="9"/>
      <c r="H65" s="9"/>
      <c r="I65" s="9"/>
    </row>
    <row r="66" spans="2:9" x14ac:dyDescent="0.25">
      <c r="B66" s="9"/>
      <c r="C66" s="9"/>
      <c r="D66" s="9"/>
      <c r="E66" s="9"/>
      <c r="F66" s="9"/>
      <c r="G66" s="9"/>
      <c r="H66" s="9"/>
      <c r="I66" s="9"/>
    </row>
    <row r="67" spans="2:9" x14ac:dyDescent="0.25">
      <c r="B67" s="9"/>
      <c r="C67" s="9"/>
      <c r="D67" s="9"/>
      <c r="E67" s="9"/>
      <c r="F67" s="9"/>
      <c r="G67" s="9"/>
      <c r="H67" s="9"/>
      <c r="I67" s="9"/>
    </row>
    <row r="68" spans="2:9" x14ac:dyDescent="0.25">
      <c r="B68" s="9"/>
      <c r="C68" s="9"/>
      <c r="D68" s="9"/>
      <c r="E68" s="9"/>
      <c r="F68" s="9"/>
      <c r="G68" s="9"/>
      <c r="H68" s="9"/>
      <c r="I68" s="9"/>
    </row>
    <row r="69" spans="2:9" x14ac:dyDescent="0.25">
      <c r="B69" s="9"/>
      <c r="C69" s="9"/>
      <c r="D69" s="9"/>
      <c r="E69" s="9"/>
      <c r="F69" s="9"/>
      <c r="G69" s="9"/>
      <c r="H69" s="9"/>
      <c r="I69" s="9"/>
    </row>
    <row r="70" spans="2:9" x14ac:dyDescent="0.25">
      <c r="B70" s="9"/>
      <c r="C70" s="9"/>
      <c r="D70" s="9"/>
      <c r="E70" s="9"/>
      <c r="F70" s="9"/>
      <c r="G70" s="9"/>
      <c r="H70" s="9"/>
      <c r="I70" s="9"/>
    </row>
    <row r="71" spans="2:9" x14ac:dyDescent="0.25">
      <c r="B71" s="9"/>
      <c r="C71" s="9"/>
      <c r="D71" s="9"/>
      <c r="E71" s="9"/>
      <c r="F71" s="9"/>
      <c r="G71" s="9"/>
      <c r="H71" s="9"/>
      <c r="I71" s="9"/>
    </row>
    <row r="72" spans="2:9" x14ac:dyDescent="0.25">
      <c r="B72" s="9"/>
      <c r="C72" s="9"/>
      <c r="D72" s="9"/>
      <c r="E72" s="9"/>
      <c r="F72" s="9"/>
      <c r="G72" s="9"/>
      <c r="H72" s="9"/>
      <c r="I72" s="9"/>
    </row>
    <row r="73" spans="2:9" x14ac:dyDescent="0.25">
      <c r="B73" s="9"/>
      <c r="C73" s="9"/>
      <c r="D73" s="9"/>
      <c r="E73" s="9"/>
      <c r="F73" s="9"/>
      <c r="G73" s="9"/>
      <c r="H73" s="9"/>
      <c r="I73" s="9"/>
    </row>
    <row r="74" spans="2:9" x14ac:dyDescent="0.25">
      <c r="B74" s="9"/>
      <c r="C74" s="9"/>
      <c r="D74" s="9"/>
      <c r="E74" s="9"/>
      <c r="F74" s="9"/>
      <c r="G74" s="9"/>
      <c r="H74" s="9"/>
      <c r="I74" s="9"/>
    </row>
    <row r="75" spans="2:9" x14ac:dyDescent="0.25">
      <c r="B75" s="9"/>
      <c r="C75" s="9"/>
      <c r="D75" s="9"/>
      <c r="E75" s="9"/>
      <c r="F75" s="9"/>
      <c r="G75" s="9"/>
      <c r="H75" s="9"/>
      <c r="I75" s="9"/>
    </row>
    <row r="76" spans="2:9" x14ac:dyDescent="0.25">
      <c r="B76" s="9"/>
      <c r="C76" s="9"/>
      <c r="D76" s="9"/>
      <c r="E76" s="9"/>
      <c r="F76" s="9"/>
      <c r="G76" s="9"/>
      <c r="H76" s="9"/>
      <c r="I76" s="9"/>
    </row>
    <row r="77" spans="2:9" x14ac:dyDescent="0.25">
      <c r="B77" s="9"/>
      <c r="C77" s="9"/>
      <c r="D77" s="9"/>
      <c r="E77" s="9"/>
      <c r="F77" s="9"/>
      <c r="G77" s="9"/>
      <c r="H77" s="9"/>
      <c r="I77" s="9"/>
    </row>
    <row r="78" spans="2:9" x14ac:dyDescent="0.25">
      <c r="B78" s="9"/>
      <c r="C78" s="9"/>
      <c r="D78" s="9"/>
      <c r="E78" s="9"/>
      <c r="F78" s="9"/>
      <c r="G78" s="9"/>
      <c r="H78" s="9"/>
      <c r="I78" s="9"/>
    </row>
    <row r="79" spans="2:9" x14ac:dyDescent="0.25">
      <c r="B79" s="9"/>
      <c r="C79" s="9"/>
      <c r="D79" s="9"/>
      <c r="E79" s="9"/>
      <c r="F79" s="9"/>
      <c r="G79" s="9"/>
      <c r="H79" s="9"/>
      <c r="I79" s="9"/>
    </row>
    <row r="80" spans="2:9" x14ac:dyDescent="0.25">
      <c r="B80" s="9"/>
      <c r="C80" s="9"/>
      <c r="D80" s="9"/>
      <c r="E80" s="9"/>
      <c r="F80" s="9"/>
      <c r="G80" s="9"/>
      <c r="H80" s="9"/>
      <c r="I80" s="9"/>
    </row>
    <row r="81" spans="2:9" x14ac:dyDescent="0.25">
      <c r="B81" s="9"/>
      <c r="C81" s="9"/>
      <c r="D81" s="9"/>
      <c r="E81" s="9"/>
      <c r="F81" s="9"/>
      <c r="G81" s="9"/>
      <c r="H81" s="9"/>
      <c r="I81" s="9"/>
    </row>
    <row r="82" spans="2:9" x14ac:dyDescent="0.25">
      <c r="B82" s="9"/>
      <c r="C82" s="9"/>
      <c r="D82" s="9"/>
      <c r="E82" s="9"/>
      <c r="F82" s="9"/>
      <c r="G82" s="9"/>
      <c r="H82" s="9"/>
      <c r="I82" s="9"/>
    </row>
    <row r="83" spans="2:9" x14ac:dyDescent="0.25">
      <c r="B83" s="9"/>
      <c r="C83" s="9"/>
      <c r="D83" s="9"/>
      <c r="E83" s="9"/>
      <c r="F83" s="9"/>
      <c r="G83" s="9"/>
      <c r="H83" s="9"/>
      <c r="I83" s="9"/>
    </row>
    <row r="84" spans="2:9" x14ac:dyDescent="0.25">
      <c r="B84" s="9"/>
      <c r="C84" s="9"/>
      <c r="D84" s="9"/>
      <c r="E84" s="9"/>
      <c r="F84" s="9"/>
      <c r="G84" s="9"/>
      <c r="H84" s="9"/>
      <c r="I84" s="9"/>
    </row>
    <row r="85" spans="2:9" x14ac:dyDescent="0.25">
      <c r="B85" s="9"/>
      <c r="C85" s="9"/>
      <c r="D85" s="9"/>
      <c r="E85" s="9"/>
      <c r="F85" s="9"/>
      <c r="G85" s="9"/>
      <c r="H85" s="9"/>
      <c r="I85" s="9"/>
    </row>
    <row r="86" spans="2:9" x14ac:dyDescent="0.25">
      <c r="B86" s="9"/>
      <c r="C86" s="9"/>
      <c r="D86" s="9"/>
      <c r="E86" s="9"/>
      <c r="F86" s="9"/>
      <c r="G86" s="9"/>
      <c r="H86" s="9"/>
      <c r="I86" s="9"/>
    </row>
    <row r="87" spans="2:9" x14ac:dyDescent="0.25">
      <c r="B87" s="9"/>
      <c r="C87" s="9"/>
      <c r="D87" s="9"/>
      <c r="E87" s="9"/>
      <c r="F87" s="9"/>
      <c r="G87" s="9"/>
      <c r="H87" s="9"/>
      <c r="I87" s="9"/>
    </row>
    <row r="88" spans="2:9" x14ac:dyDescent="0.25">
      <c r="B88" s="9"/>
      <c r="C88" s="9"/>
      <c r="D88" s="9"/>
      <c r="E88" s="9"/>
      <c r="F88" s="9"/>
      <c r="G88" s="9"/>
      <c r="H88" s="9"/>
      <c r="I88" s="9"/>
    </row>
    <row r="89" spans="2:9" x14ac:dyDescent="0.25">
      <c r="B89" s="9"/>
      <c r="C89" s="9"/>
      <c r="D89" s="9"/>
      <c r="E89" s="9"/>
      <c r="F89" s="9"/>
      <c r="G89" s="9"/>
      <c r="H89" s="9"/>
      <c r="I89" s="9"/>
    </row>
    <row r="90" spans="2:9" x14ac:dyDescent="0.25">
      <c r="B90" s="9"/>
      <c r="C90" s="9"/>
      <c r="D90" s="9"/>
      <c r="E90" s="9"/>
      <c r="F90" s="9"/>
      <c r="G90" s="9"/>
      <c r="H90" s="9"/>
      <c r="I90" s="9"/>
    </row>
    <row r="91" spans="2:9" x14ac:dyDescent="0.25">
      <c r="B91" s="9"/>
      <c r="C91" s="9"/>
      <c r="D91" s="9"/>
      <c r="E91" s="9"/>
      <c r="F91" s="9"/>
      <c r="G91" s="9"/>
      <c r="H91" s="9"/>
      <c r="I91" s="9"/>
    </row>
    <row r="92" spans="2:9" x14ac:dyDescent="0.25">
      <c r="B92" s="9"/>
      <c r="C92" s="9"/>
      <c r="D92" s="9"/>
      <c r="E92" s="9"/>
      <c r="F92" s="9"/>
      <c r="G92" s="9"/>
      <c r="H92" s="9"/>
      <c r="I92" s="9"/>
    </row>
    <row r="93" spans="2:9" x14ac:dyDescent="0.25">
      <c r="B93" s="9"/>
      <c r="C93" s="9"/>
      <c r="D93" s="9"/>
      <c r="E93" s="9"/>
      <c r="F93" s="9"/>
      <c r="G93" s="9"/>
      <c r="H93" s="9"/>
      <c r="I93" s="9"/>
    </row>
    <row r="94" spans="2:9" x14ac:dyDescent="0.25">
      <c r="B94" s="9"/>
      <c r="C94" s="9"/>
      <c r="D94" s="9"/>
      <c r="E94" s="9"/>
      <c r="F94" s="9"/>
      <c r="G94" s="9"/>
      <c r="H94" s="9"/>
      <c r="I94" s="9"/>
    </row>
    <row r="95" spans="2:9" x14ac:dyDescent="0.25">
      <c r="B95" s="9"/>
      <c r="C95" s="9"/>
      <c r="D95" s="9"/>
      <c r="E95" s="9"/>
      <c r="F95" s="9"/>
      <c r="G95" s="9"/>
      <c r="H95" s="9"/>
      <c r="I95" s="9"/>
    </row>
    <row r="96" spans="2:9" x14ac:dyDescent="0.25">
      <c r="B96" s="9"/>
      <c r="C96" s="9"/>
      <c r="D96" s="9"/>
      <c r="E96" s="9"/>
      <c r="F96" s="9"/>
      <c r="G96" s="9"/>
      <c r="H96" s="9"/>
      <c r="I96" s="9"/>
    </row>
    <row r="97" spans="2:9" x14ac:dyDescent="0.25">
      <c r="B97" s="9"/>
      <c r="C97" s="9"/>
      <c r="D97" s="9"/>
      <c r="E97" s="9"/>
      <c r="F97" s="9"/>
      <c r="G97" s="9"/>
      <c r="H97" s="9"/>
      <c r="I97" s="9"/>
    </row>
    <row r="98" spans="2:9" x14ac:dyDescent="0.25">
      <c r="B98" s="9"/>
      <c r="C98" s="9"/>
      <c r="D98" s="9"/>
      <c r="E98" s="9"/>
      <c r="F98" s="9"/>
      <c r="G98" s="9"/>
      <c r="H98" s="9"/>
      <c r="I98" s="9"/>
    </row>
    <row r="99" spans="2:9" x14ac:dyDescent="0.25">
      <c r="B99" s="9"/>
      <c r="C99" s="9"/>
      <c r="D99" s="9"/>
      <c r="E99" s="9"/>
      <c r="F99" s="9"/>
      <c r="G99" s="9"/>
      <c r="H99" s="9"/>
      <c r="I99" s="9"/>
    </row>
    <row r="100" spans="2:9" x14ac:dyDescent="0.25">
      <c r="B100" s="9"/>
      <c r="C100" s="9"/>
      <c r="D100" s="9"/>
      <c r="E100" s="9"/>
      <c r="F100" s="9"/>
      <c r="G100" s="9"/>
      <c r="H100" s="9"/>
      <c r="I100" s="9"/>
    </row>
    <row r="101" spans="2:9" x14ac:dyDescent="0.25">
      <c r="B101" s="9"/>
      <c r="C101" s="9"/>
      <c r="D101" s="9"/>
      <c r="E101" s="9"/>
      <c r="F101" s="9"/>
      <c r="G101" s="9"/>
      <c r="H101" s="9"/>
      <c r="I101" s="9"/>
    </row>
    <row r="102" spans="2:9" x14ac:dyDescent="0.25">
      <c r="B102" s="9"/>
      <c r="C102" s="9"/>
      <c r="D102" s="9"/>
      <c r="E102" s="9"/>
      <c r="F102" s="9"/>
      <c r="G102" s="9"/>
      <c r="H102" s="9"/>
      <c r="I102" s="9"/>
    </row>
    <row r="103" spans="2:9" x14ac:dyDescent="0.25">
      <c r="B103" s="9"/>
      <c r="C103" s="9"/>
      <c r="D103" s="9"/>
      <c r="E103" s="9"/>
      <c r="F103" s="9"/>
      <c r="G103" s="9"/>
      <c r="H103" s="9"/>
      <c r="I103" s="9"/>
    </row>
    <row r="104" spans="2:9" x14ac:dyDescent="0.25">
      <c r="B104" s="9"/>
      <c r="C104" s="9"/>
      <c r="D104" s="9"/>
      <c r="E104" s="9"/>
      <c r="F104" s="9"/>
      <c r="G104" s="9"/>
      <c r="H104" s="9"/>
      <c r="I104" s="9"/>
    </row>
    <row r="105" spans="2:9" x14ac:dyDescent="0.25">
      <c r="B105" s="9"/>
      <c r="C105" s="9"/>
      <c r="D105" s="9"/>
      <c r="E105" s="9"/>
      <c r="F105" s="9"/>
      <c r="G105" s="9"/>
      <c r="H105" s="9"/>
      <c r="I105" s="9"/>
    </row>
    <row r="106" spans="2:9" x14ac:dyDescent="0.25">
      <c r="B106" s="9"/>
      <c r="C106" s="9"/>
      <c r="D106" s="9"/>
      <c r="E106" s="9"/>
      <c r="F106" s="9"/>
      <c r="G106" s="9"/>
      <c r="H106" s="9"/>
      <c r="I106" s="9"/>
    </row>
    <row r="107" spans="2:9" x14ac:dyDescent="0.25">
      <c r="B107" s="9"/>
      <c r="C107" s="9"/>
      <c r="D107" s="9"/>
      <c r="E107" s="9"/>
      <c r="F107" s="9"/>
      <c r="G107" s="9"/>
      <c r="H107" s="9"/>
      <c r="I107" s="9"/>
    </row>
    <row r="108" spans="2:9" x14ac:dyDescent="0.25">
      <c r="B108" s="9"/>
      <c r="C108" s="9"/>
      <c r="D108" s="9"/>
      <c r="E108" s="9"/>
      <c r="F108" s="9"/>
      <c r="G108" s="9"/>
      <c r="H108" s="9"/>
      <c r="I108" s="9"/>
    </row>
    <row r="109" spans="2:9" x14ac:dyDescent="0.25">
      <c r="B109" s="9"/>
      <c r="C109" s="9"/>
      <c r="D109" s="9"/>
      <c r="E109" s="9"/>
      <c r="F109" s="9"/>
      <c r="G109" s="9"/>
      <c r="H109" s="9"/>
      <c r="I109" s="9"/>
    </row>
    <row r="110" spans="2:9" x14ac:dyDescent="0.25">
      <c r="B110" s="9"/>
      <c r="C110" s="9"/>
      <c r="D110" s="9"/>
      <c r="E110" s="9"/>
      <c r="F110" s="9"/>
      <c r="G110" s="9"/>
      <c r="H110" s="9"/>
      <c r="I110" s="9"/>
    </row>
    <row r="111" spans="2:9" x14ac:dyDescent="0.25">
      <c r="B111" s="9"/>
      <c r="C111" s="9"/>
      <c r="D111" s="9"/>
      <c r="E111" s="9"/>
      <c r="F111" s="9"/>
      <c r="G111" s="9"/>
      <c r="H111" s="9"/>
      <c r="I111" s="9"/>
    </row>
    <row r="112" spans="2:9" x14ac:dyDescent="0.25">
      <c r="B112" s="9"/>
      <c r="C112" s="9"/>
      <c r="D112" s="9"/>
      <c r="E112" s="9"/>
      <c r="F112" s="9"/>
      <c r="G112" s="9"/>
      <c r="H112" s="9"/>
      <c r="I112" s="9"/>
    </row>
    <row r="113" spans="2:9" x14ac:dyDescent="0.25">
      <c r="B113" s="9"/>
      <c r="C113" s="9"/>
      <c r="D113" s="9"/>
      <c r="E113" s="9"/>
      <c r="F113" s="9"/>
      <c r="G113" s="9"/>
      <c r="H113" s="9"/>
      <c r="I113" s="9"/>
    </row>
    <row r="114" spans="2:9" x14ac:dyDescent="0.25">
      <c r="B114" s="9"/>
      <c r="C114" s="9"/>
      <c r="D114" s="9"/>
      <c r="E114" s="9"/>
      <c r="F114" s="9"/>
      <c r="G114" s="9"/>
      <c r="H114" s="9"/>
      <c r="I114" s="9"/>
    </row>
    <row r="115" spans="2:9" x14ac:dyDescent="0.25">
      <c r="B115" s="9"/>
      <c r="C115" s="9"/>
      <c r="D115" s="9"/>
      <c r="E115" s="9"/>
      <c r="F115" s="9"/>
      <c r="G115" s="9"/>
      <c r="H115" s="9"/>
      <c r="I115" s="9"/>
    </row>
    <row r="116" spans="2:9" x14ac:dyDescent="0.25">
      <c r="B116" s="9"/>
      <c r="C116" s="9"/>
      <c r="D116" s="9"/>
      <c r="E116" s="9"/>
      <c r="F116" s="9"/>
      <c r="G116" s="9"/>
      <c r="H116" s="9"/>
      <c r="I116" s="9"/>
    </row>
    <row r="117" spans="2:9" x14ac:dyDescent="0.25">
      <c r="B117" s="9"/>
      <c r="C117" s="9"/>
      <c r="D117" s="9"/>
      <c r="E117" s="9"/>
      <c r="F117" s="9"/>
      <c r="G117" s="9"/>
      <c r="H117" s="9"/>
      <c r="I117" s="9"/>
    </row>
    <row r="118" spans="2:9" x14ac:dyDescent="0.25">
      <c r="B118" s="9"/>
      <c r="C118" s="9"/>
      <c r="D118" s="9"/>
      <c r="E118" s="9"/>
      <c r="F118" s="9"/>
      <c r="G118" s="9"/>
      <c r="H118" s="9"/>
      <c r="I118" s="9"/>
    </row>
    <row r="119" spans="2:9" x14ac:dyDescent="0.25">
      <c r="B119" s="9"/>
      <c r="C119" s="9"/>
      <c r="D119" s="9"/>
      <c r="E119" s="9"/>
      <c r="F119" s="9"/>
      <c r="G119" s="9"/>
      <c r="H119" s="9"/>
      <c r="I119" s="9"/>
    </row>
    <row r="120" spans="2:9" x14ac:dyDescent="0.25">
      <c r="B120" s="9"/>
      <c r="C120" s="9"/>
      <c r="D120" s="9"/>
      <c r="E120" s="9"/>
      <c r="F120" s="9"/>
      <c r="G120" s="9"/>
      <c r="H120" s="9"/>
      <c r="I120" s="9"/>
    </row>
    <row r="121" spans="2:9" x14ac:dyDescent="0.25">
      <c r="B121" s="9"/>
      <c r="C121" s="9"/>
      <c r="D121" s="9"/>
      <c r="E121" s="9"/>
      <c r="F121" s="9"/>
      <c r="G121" s="9"/>
      <c r="H121" s="9"/>
      <c r="I121" s="9"/>
    </row>
    <row r="122" spans="2:9" x14ac:dyDescent="0.25">
      <c r="B122" s="9"/>
      <c r="C122" s="9"/>
      <c r="D122" s="9"/>
      <c r="E122" s="9"/>
      <c r="F122" s="9"/>
      <c r="G122" s="9"/>
      <c r="H122" s="9"/>
      <c r="I122" s="9"/>
    </row>
    <row r="123" spans="2:9" x14ac:dyDescent="0.25">
      <c r="B123" s="9"/>
      <c r="C123" s="9"/>
      <c r="D123" s="9"/>
      <c r="E123" s="9"/>
      <c r="F123" s="9"/>
      <c r="G123" s="9"/>
      <c r="H123" s="9"/>
      <c r="I123" s="9"/>
    </row>
    <row r="124" spans="2:9" x14ac:dyDescent="0.25">
      <c r="B124" s="9"/>
      <c r="C124" s="9"/>
      <c r="D124" s="9"/>
      <c r="E124" s="9"/>
      <c r="F124" s="9"/>
      <c r="G124" s="9"/>
      <c r="H124" s="9"/>
      <c r="I124" s="9"/>
    </row>
    <row r="125" spans="2:9" x14ac:dyDescent="0.25">
      <c r="B125" s="9"/>
      <c r="C125" s="9"/>
      <c r="D125" s="9"/>
      <c r="E125" s="9"/>
      <c r="F125" s="9"/>
      <c r="G125" s="9"/>
      <c r="H125" s="9"/>
      <c r="I125" s="9"/>
    </row>
    <row r="126" spans="2:9" x14ac:dyDescent="0.25">
      <c r="B126" s="9"/>
      <c r="C126" s="9"/>
      <c r="D126" s="9"/>
      <c r="E126" s="9"/>
      <c r="F126" s="9"/>
      <c r="G126" s="9"/>
      <c r="H126" s="9"/>
      <c r="I126" s="9"/>
    </row>
    <row r="127" spans="2:9" x14ac:dyDescent="0.25">
      <c r="B127" s="9"/>
      <c r="C127" s="9"/>
      <c r="D127" s="9"/>
      <c r="E127" s="9"/>
      <c r="F127" s="9"/>
      <c r="G127" s="9"/>
      <c r="H127" s="9"/>
      <c r="I127" s="9"/>
    </row>
    <row r="128" spans="2:9" x14ac:dyDescent="0.25">
      <c r="B128" s="9"/>
      <c r="C128" s="9"/>
      <c r="D128" s="9"/>
      <c r="E128" s="9"/>
      <c r="F128" s="9"/>
      <c r="G128" s="9"/>
      <c r="H128" s="9"/>
      <c r="I128" s="9"/>
    </row>
    <row r="129" spans="2:9" x14ac:dyDescent="0.25">
      <c r="B129" s="9"/>
      <c r="C129" s="9"/>
      <c r="D129" s="9"/>
      <c r="E129" s="9"/>
      <c r="F129" s="9"/>
      <c r="G129" s="9"/>
      <c r="H129" s="9"/>
      <c r="I129" s="9"/>
    </row>
    <row r="130" spans="2:9" x14ac:dyDescent="0.25">
      <c r="B130" s="9"/>
      <c r="C130" s="9"/>
      <c r="D130" s="9"/>
      <c r="E130" s="9"/>
      <c r="F130" s="9"/>
      <c r="G130" s="9"/>
      <c r="H130" s="9"/>
      <c r="I130" s="9"/>
    </row>
    <row r="131" spans="2:9" x14ac:dyDescent="0.25">
      <c r="B131" s="9"/>
      <c r="C131" s="9"/>
      <c r="D131" s="9"/>
      <c r="E131" s="9"/>
      <c r="F131" s="9"/>
      <c r="G131" s="9"/>
      <c r="H131" s="9"/>
      <c r="I131" s="9"/>
    </row>
    <row r="132" spans="2:9" x14ac:dyDescent="0.25">
      <c r="B132" s="9"/>
      <c r="C132" s="9"/>
      <c r="D132" s="9"/>
      <c r="E132" s="9"/>
      <c r="F132" s="9"/>
      <c r="G132" s="9"/>
      <c r="H132" s="9"/>
      <c r="I132" s="9"/>
    </row>
    <row r="133" spans="2:9" x14ac:dyDescent="0.25">
      <c r="B133" s="9"/>
      <c r="C133" s="9"/>
      <c r="D133" s="9"/>
      <c r="E133" s="9"/>
      <c r="F133" s="9"/>
      <c r="G133" s="9"/>
      <c r="H133" s="9"/>
      <c r="I133" s="9"/>
    </row>
    <row r="134" spans="2:9" x14ac:dyDescent="0.25">
      <c r="B134" s="9"/>
      <c r="C134" s="9"/>
      <c r="D134" s="9"/>
      <c r="E134" s="9"/>
      <c r="F134" s="9"/>
      <c r="G134" s="9"/>
      <c r="H134" s="9"/>
      <c r="I134" s="9"/>
    </row>
    <row r="135" spans="2:9" x14ac:dyDescent="0.25">
      <c r="B135" s="9"/>
      <c r="C135" s="9"/>
      <c r="D135" s="9"/>
      <c r="E135" s="9"/>
      <c r="F135" s="9"/>
      <c r="G135" s="9"/>
      <c r="H135" s="9"/>
      <c r="I135" s="9"/>
    </row>
    <row r="136" spans="2:9" x14ac:dyDescent="0.25">
      <c r="B136" s="9"/>
      <c r="C136" s="9"/>
      <c r="D136" s="9"/>
      <c r="E136" s="9"/>
      <c r="F136" s="9"/>
      <c r="G136" s="9"/>
      <c r="H136" s="9"/>
      <c r="I136" s="9"/>
    </row>
    <row r="137" spans="2:9" x14ac:dyDescent="0.25">
      <c r="B137" s="9"/>
      <c r="C137" s="9"/>
      <c r="D137" s="9"/>
      <c r="E137" s="9"/>
      <c r="F137" s="9"/>
      <c r="G137" s="9"/>
      <c r="H137" s="9"/>
      <c r="I137" s="9"/>
    </row>
    <row r="138" spans="2:9" x14ac:dyDescent="0.25">
      <c r="B138" s="9"/>
      <c r="C138" s="9"/>
      <c r="D138" s="9"/>
      <c r="E138" s="9"/>
      <c r="F138" s="9"/>
      <c r="G138" s="9"/>
      <c r="H138" s="9"/>
      <c r="I138" s="9"/>
    </row>
    <row r="139" spans="2:9" x14ac:dyDescent="0.25">
      <c r="B139" s="9"/>
      <c r="C139" s="9"/>
      <c r="D139" s="9"/>
      <c r="E139" s="9"/>
      <c r="F139" s="9"/>
      <c r="G139" s="9"/>
      <c r="H139" s="9"/>
      <c r="I139" s="9"/>
    </row>
    <row r="140" spans="2:9" x14ac:dyDescent="0.25">
      <c r="B140" s="9"/>
      <c r="C140" s="9"/>
      <c r="D140" s="9"/>
      <c r="E140" s="9"/>
      <c r="F140" s="9"/>
      <c r="G140" s="9"/>
      <c r="H140" s="9"/>
      <c r="I140" s="9"/>
    </row>
    <row r="141" spans="2:9" x14ac:dyDescent="0.25">
      <c r="B141" s="9"/>
      <c r="C141" s="9"/>
      <c r="D141" s="9"/>
      <c r="E141" s="9"/>
      <c r="F141" s="9"/>
      <c r="G141" s="9"/>
      <c r="H141" s="9"/>
      <c r="I141" s="9"/>
    </row>
    <row r="142" spans="2:9" x14ac:dyDescent="0.25">
      <c r="B142" s="9"/>
      <c r="C142" s="9"/>
      <c r="D142" s="9"/>
      <c r="E142" s="9"/>
      <c r="F142" s="9"/>
      <c r="G142" s="9"/>
      <c r="H142" s="9"/>
      <c r="I142" s="9"/>
    </row>
    <row r="143" spans="2:9" x14ac:dyDescent="0.25">
      <c r="B143" s="9"/>
      <c r="C143" s="9"/>
      <c r="D143" s="9"/>
      <c r="E143" s="9"/>
      <c r="F143" s="9"/>
      <c r="G143" s="9"/>
      <c r="H143" s="9"/>
      <c r="I143" s="9"/>
    </row>
    <row r="144" spans="2:9" x14ac:dyDescent="0.25">
      <c r="B144" s="9"/>
      <c r="C144" s="9"/>
      <c r="D144" s="9"/>
      <c r="E144" s="9"/>
      <c r="F144" s="9"/>
      <c r="G144" s="9"/>
      <c r="H144" s="9"/>
      <c r="I144" s="9"/>
    </row>
    <row r="145" spans="2:9" x14ac:dyDescent="0.25">
      <c r="B145" s="9"/>
      <c r="C145" s="9"/>
      <c r="D145" s="9"/>
      <c r="E145" s="9"/>
      <c r="F145" s="9"/>
      <c r="G145" s="9"/>
      <c r="H145" s="9"/>
      <c r="I145" s="9"/>
    </row>
    <row r="146" spans="2:9" x14ac:dyDescent="0.25">
      <c r="B146" s="9"/>
      <c r="C146" s="9"/>
      <c r="D146" s="9"/>
      <c r="E146" s="9"/>
      <c r="F146" s="9"/>
      <c r="G146" s="9"/>
      <c r="H146" s="9"/>
      <c r="I146" s="9"/>
    </row>
    <row r="147" spans="2:9" x14ac:dyDescent="0.25">
      <c r="B147" s="9"/>
      <c r="C147" s="9"/>
      <c r="D147" s="9"/>
      <c r="E147" s="9"/>
      <c r="F147" s="9"/>
      <c r="G147" s="9"/>
      <c r="H147" s="9"/>
      <c r="I147" s="9"/>
    </row>
    <row r="148" spans="2:9" x14ac:dyDescent="0.25">
      <c r="B148" s="9"/>
      <c r="C148" s="9"/>
      <c r="D148" s="9"/>
      <c r="E148" s="9"/>
      <c r="F148" s="9"/>
      <c r="G148" s="9"/>
      <c r="H148" s="9"/>
      <c r="I148" s="9"/>
    </row>
    <row r="149" spans="2:9" x14ac:dyDescent="0.25">
      <c r="B149" s="9"/>
      <c r="C149" s="9"/>
      <c r="D149" s="9"/>
      <c r="E149" s="9"/>
      <c r="F149" s="9"/>
      <c r="G149" s="9"/>
      <c r="H149" s="9"/>
      <c r="I149" s="9"/>
    </row>
    <row r="150" spans="2:9" x14ac:dyDescent="0.25">
      <c r="B150" s="9"/>
      <c r="C150" s="9"/>
      <c r="D150" s="9"/>
      <c r="E150" s="9"/>
      <c r="F150" s="9"/>
      <c r="G150" s="9"/>
      <c r="H150" s="9"/>
      <c r="I150" s="9"/>
    </row>
    <row r="151" spans="2:9" x14ac:dyDescent="0.25">
      <c r="B151" s="9"/>
      <c r="C151" s="9"/>
      <c r="D151" s="9"/>
      <c r="E151" s="9"/>
      <c r="F151" s="9"/>
      <c r="G151" s="9"/>
      <c r="H151" s="9"/>
      <c r="I151" s="9"/>
    </row>
    <row r="152" spans="2:9" x14ac:dyDescent="0.25">
      <c r="B152" s="9"/>
      <c r="C152" s="9"/>
      <c r="D152" s="9"/>
      <c r="E152" s="9"/>
      <c r="F152" s="9"/>
      <c r="G152" s="9"/>
      <c r="H152" s="9"/>
      <c r="I152" s="9"/>
    </row>
    <row r="153" spans="2:9" x14ac:dyDescent="0.25">
      <c r="B153" s="9"/>
      <c r="C153" s="9"/>
      <c r="D153" s="9"/>
      <c r="E153" s="9"/>
      <c r="F153" s="9"/>
      <c r="G153" s="9"/>
      <c r="H153" s="9"/>
      <c r="I153" s="9"/>
    </row>
    <row r="154" spans="2:9" x14ac:dyDescent="0.25">
      <c r="B154" s="9"/>
      <c r="C154" s="9"/>
      <c r="D154" s="9"/>
      <c r="E154" s="9"/>
      <c r="F154" s="9"/>
      <c r="G154" s="9"/>
      <c r="H154" s="9"/>
      <c r="I154" s="9"/>
    </row>
    <row r="155" spans="2:9" x14ac:dyDescent="0.25">
      <c r="B155" s="9"/>
      <c r="C155" s="9"/>
      <c r="D155" s="9"/>
      <c r="E155" s="9"/>
      <c r="F155" s="9"/>
      <c r="G155" s="9"/>
      <c r="H155" s="9"/>
      <c r="I155" s="9"/>
    </row>
    <row r="156" spans="2:9" x14ac:dyDescent="0.25">
      <c r="B156" s="9"/>
      <c r="C156" s="9"/>
      <c r="D156" s="9"/>
      <c r="E156" s="9"/>
      <c r="F156" s="9"/>
      <c r="G156" s="9"/>
      <c r="H156" s="9"/>
      <c r="I156" s="9"/>
    </row>
    <row r="157" spans="2:9" x14ac:dyDescent="0.25">
      <c r="B157" s="9"/>
      <c r="C157" s="9"/>
      <c r="D157" s="9"/>
      <c r="E157" s="9"/>
      <c r="F157" s="9"/>
      <c r="G157" s="9"/>
      <c r="H157" s="9"/>
      <c r="I157" s="9"/>
    </row>
    <row r="158" spans="2:9" x14ac:dyDescent="0.25">
      <c r="B158" s="9"/>
      <c r="C158" s="9"/>
      <c r="D158" s="9"/>
      <c r="E158" s="9"/>
      <c r="F158" s="9"/>
      <c r="G158" s="9"/>
      <c r="H158" s="9"/>
      <c r="I158" s="9"/>
    </row>
    <row r="159" spans="2:9" x14ac:dyDescent="0.25">
      <c r="B159" s="9"/>
      <c r="C159" s="9"/>
      <c r="D159" s="9"/>
      <c r="E159" s="9"/>
      <c r="F159" s="9"/>
      <c r="G159" s="9"/>
      <c r="H159" s="9"/>
      <c r="I159" s="9"/>
    </row>
    <row r="160" spans="2:9" x14ac:dyDescent="0.25">
      <c r="B160" s="9"/>
      <c r="C160" s="9"/>
      <c r="D160" s="9"/>
      <c r="E160" s="9"/>
      <c r="F160" s="9"/>
      <c r="G160" s="9"/>
      <c r="H160" s="9"/>
      <c r="I160" s="9"/>
    </row>
    <row r="161" spans="2:9" x14ac:dyDescent="0.25">
      <c r="B161" s="9"/>
      <c r="C161" s="9"/>
      <c r="D161" s="9"/>
      <c r="E161" s="9"/>
      <c r="F161" s="9"/>
      <c r="G161" s="9"/>
      <c r="H161" s="9"/>
      <c r="I161" s="9"/>
    </row>
    <row r="162" spans="2:9" x14ac:dyDescent="0.25">
      <c r="B162" s="9"/>
      <c r="C162" s="9"/>
      <c r="D162" s="9"/>
      <c r="E162" s="9"/>
      <c r="F162" s="9"/>
      <c r="G162" s="9"/>
      <c r="H162" s="9"/>
      <c r="I162" s="9"/>
    </row>
    <row r="163" spans="2:9" x14ac:dyDescent="0.25">
      <c r="B163" s="9"/>
      <c r="C163" s="9"/>
      <c r="D163" s="9"/>
      <c r="E163" s="9"/>
      <c r="F163" s="9"/>
      <c r="G163" s="9"/>
      <c r="H163" s="9"/>
      <c r="I163" s="9"/>
    </row>
    <row r="164" spans="2:9" x14ac:dyDescent="0.25">
      <c r="B164" s="9"/>
      <c r="C164" s="9"/>
      <c r="D164" s="9"/>
      <c r="E164" s="9"/>
      <c r="F164" s="9"/>
      <c r="G164" s="9"/>
      <c r="H164" s="9"/>
      <c r="I164" s="9"/>
    </row>
    <row r="165" spans="2:9" x14ac:dyDescent="0.25">
      <c r="B165" s="9"/>
      <c r="C165" s="9"/>
      <c r="D165" s="9"/>
      <c r="E165" s="9"/>
      <c r="F165" s="9"/>
      <c r="G165" s="9"/>
      <c r="H165" s="9"/>
      <c r="I165" s="9"/>
    </row>
    <row r="166" spans="2:9" x14ac:dyDescent="0.25">
      <c r="B166" s="9"/>
      <c r="C166" s="9"/>
      <c r="D166" s="9"/>
      <c r="E166" s="9"/>
      <c r="F166" s="9"/>
      <c r="G166" s="9"/>
      <c r="H166" s="9"/>
      <c r="I166" s="9"/>
    </row>
    <row r="167" spans="2:9" x14ac:dyDescent="0.25">
      <c r="B167" s="9"/>
      <c r="C167" s="9"/>
      <c r="D167" s="9"/>
      <c r="E167" s="9"/>
      <c r="F167" s="9"/>
      <c r="G167" s="9"/>
      <c r="H167" s="9"/>
      <c r="I167" s="9"/>
    </row>
    <row r="168" spans="2:9" x14ac:dyDescent="0.25">
      <c r="B168" s="9"/>
      <c r="C168" s="9"/>
      <c r="D168" s="9"/>
      <c r="E168" s="9"/>
      <c r="F168" s="9"/>
      <c r="G168" s="9"/>
      <c r="H168" s="9"/>
      <c r="I168" s="9"/>
    </row>
    <row r="169" spans="2:9" x14ac:dyDescent="0.25">
      <c r="B169" s="9"/>
      <c r="C169" s="9"/>
      <c r="D169" s="9"/>
      <c r="E169" s="9"/>
      <c r="F169" s="9"/>
      <c r="G169" s="9"/>
      <c r="H169" s="9"/>
      <c r="I169" s="9"/>
    </row>
    <row r="170" spans="2:9" x14ac:dyDescent="0.25">
      <c r="B170" s="9"/>
      <c r="C170" s="9"/>
      <c r="D170" s="9"/>
      <c r="E170" s="9"/>
      <c r="F170" s="9"/>
      <c r="G170" s="9"/>
      <c r="H170" s="9"/>
      <c r="I170" s="9"/>
    </row>
    <row r="171" spans="2:9" x14ac:dyDescent="0.25">
      <c r="B171" s="9"/>
      <c r="C171" s="9"/>
      <c r="D171" s="9"/>
      <c r="E171" s="9"/>
      <c r="F171" s="9"/>
      <c r="G171" s="9"/>
      <c r="H171" s="9"/>
      <c r="I171" s="9"/>
    </row>
    <row r="172" spans="2:9" x14ac:dyDescent="0.25">
      <c r="B172" s="9"/>
      <c r="C172" s="9"/>
      <c r="D172" s="9"/>
      <c r="E172" s="9"/>
      <c r="F172" s="9"/>
      <c r="G172" s="9"/>
      <c r="H172" s="9"/>
      <c r="I172" s="9"/>
    </row>
    <row r="173" spans="2:9" x14ac:dyDescent="0.25">
      <c r="B173" s="9"/>
      <c r="C173" s="9"/>
      <c r="D173" s="9"/>
      <c r="E173" s="9"/>
      <c r="F173" s="9"/>
      <c r="G173" s="9"/>
      <c r="H173" s="9"/>
      <c r="I173" s="9"/>
    </row>
    <row r="174" spans="2:9" x14ac:dyDescent="0.25">
      <c r="B174" s="9"/>
      <c r="C174" s="9"/>
      <c r="D174" s="9"/>
      <c r="E174" s="9"/>
      <c r="F174" s="9"/>
      <c r="G174" s="9"/>
      <c r="H174" s="9"/>
      <c r="I174" s="9"/>
    </row>
    <row r="175" spans="2:9" x14ac:dyDescent="0.25">
      <c r="B175" s="9"/>
      <c r="C175" s="9"/>
      <c r="D175" s="9"/>
      <c r="E175" s="9"/>
      <c r="F175" s="9"/>
      <c r="G175" s="9"/>
      <c r="H175" s="9"/>
      <c r="I175" s="9"/>
    </row>
    <row r="176" spans="2:9" x14ac:dyDescent="0.25">
      <c r="B176" s="9"/>
      <c r="C176" s="9"/>
      <c r="D176" s="9"/>
      <c r="E176" s="9"/>
      <c r="F176" s="9"/>
      <c r="G176" s="9"/>
      <c r="H176" s="9"/>
      <c r="I176" s="9"/>
    </row>
    <row r="177" spans="2:9" x14ac:dyDescent="0.25">
      <c r="B177" s="9"/>
      <c r="C177" s="9"/>
      <c r="D177" s="9"/>
      <c r="E177" s="9"/>
      <c r="F177" s="9"/>
      <c r="G177" s="9"/>
      <c r="H177" s="9"/>
      <c r="I177" s="9"/>
    </row>
    <row r="178" spans="2:9" x14ac:dyDescent="0.25">
      <c r="B178" s="9"/>
      <c r="C178" s="9"/>
      <c r="D178" s="9"/>
      <c r="E178" s="9"/>
      <c r="F178" s="9"/>
      <c r="G178" s="9"/>
      <c r="H178" s="9"/>
      <c r="I178" s="9"/>
    </row>
    <row r="179" spans="2:9" x14ac:dyDescent="0.25">
      <c r="B179" s="9"/>
      <c r="C179" s="9"/>
      <c r="D179" s="9"/>
      <c r="E179" s="9"/>
      <c r="F179" s="9"/>
      <c r="G179" s="9"/>
      <c r="H179" s="9"/>
      <c r="I179" s="9"/>
    </row>
    <row r="180" spans="2:9" x14ac:dyDescent="0.25">
      <c r="B180" s="9"/>
      <c r="C180" s="9"/>
      <c r="D180" s="9"/>
      <c r="E180" s="9"/>
      <c r="F180" s="9"/>
      <c r="G180" s="9"/>
      <c r="H180" s="9"/>
      <c r="I180" s="9"/>
    </row>
    <row r="181" spans="2:9" x14ac:dyDescent="0.25">
      <c r="B181" s="9"/>
      <c r="C181" s="9"/>
      <c r="D181" s="9"/>
      <c r="E181" s="9"/>
      <c r="F181" s="9"/>
      <c r="G181" s="9"/>
      <c r="H181" s="9"/>
      <c r="I181" s="9"/>
    </row>
    <row r="182" spans="2:9" x14ac:dyDescent="0.25">
      <c r="B182" s="9"/>
      <c r="C182" s="9"/>
      <c r="D182" s="9"/>
      <c r="E182" s="9"/>
      <c r="F182" s="9"/>
      <c r="G182" s="9"/>
      <c r="H182" s="9"/>
      <c r="I182" s="9"/>
    </row>
    <row r="183" spans="2:9" x14ac:dyDescent="0.25">
      <c r="B183" s="9"/>
      <c r="C183" s="9"/>
      <c r="D183" s="9"/>
      <c r="E183" s="9"/>
      <c r="F183" s="9"/>
      <c r="G183" s="9"/>
      <c r="H183" s="9"/>
      <c r="I183" s="9"/>
    </row>
    <row r="184" spans="2:9" x14ac:dyDescent="0.25">
      <c r="B184" s="9"/>
      <c r="C184" s="9"/>
      <c r="D184" s="9"/>
      <c r="E184" s="9"/>
      <c r="F184" s="9"/>
      <c r="G184" s="9"/>
      <c r="H184" s="9"/>
      <c r="I184" s="9"/>
    </row>
    <row r="185" spans="2:9" x14ac:dyDescent="0.25">
      <c r="B185" s="9"/>
      <c r="C185" s="9"/>
      <c r="D185" s="9"/>
      <c r="E185" s="9"/>
      <c r="F185" s="9"/>
      <c r="G185" s="9"/>
      <c r="H185" s="9"/>
      <c r="I185" s="9"/>
    </row>
    <row r="186" spans="2:9" x14ac:dyDescent="0.25">
      <c r="B186" s="9"/>
      <c r="C186" s="9"/>
      <c r="D186" s="9"/>
      <c r="E186" s="9"/>
      <c r="F186" s="9"/>
      <c r="G186" s="9"/>
      <c r="H186" s="9"/>
      <c r="I186" s="9"/>
    </row>
    <row r="187" spans="2:9" x14ac:dyDescent="0.25">
      <c r="B187" s="9"/>
      <c r="C187" s="9"/>
      <c r="D187" s="9"/>
      <c r="E187" s="9"/>
      <c r="F187" s="9"/>
      <c r="G187" s="9"/>
      <c r="H187" s="9"/>
      <c r="I187" s="9"/>
    </row>
    <row r="188" spans="2:9" x14ac:dyDescent="0.25">
      <c r="B188" s="9"/>
      <c r="C188" s="9"/>
      <c r="D188" s="9"/>
      <c r="E188" s="9"/>
      <c r="F188" s="9"/>
      <c r="G188" s="9"/>
      <c r="H188" s="9"/>
      <c r="I188" s="9"/>
    </row>
    <row r="189" spans="2:9" x14ac:dyDescent="0.25">
      <c r="B189" s="9"/>
      <c r="C189" s="9"/>
      <c r="D189" s="9"/>
      <c r="E189" s="9"/>
      <c r="F189" s="9"/>
      <c r="G189" s="9"/>
      <c r="H189" s="9"/>
      <c r="I189" s="9"/>
    </row>
    <row r="190" spans="2:9" x14ac:dyDescent="0.25">
      <c r="B190" s="9"/>
      <c r="C190" s="9"/>
      <c r="D190" s="9"/>
      <c r="E190" s="9"/>
      <c r="F190" s="9"/>
      <c r="G190" s="9"/>
      <c r="H190" s="9"/>
      <c r="I190" s="9"/>
    </row>
    <row r="191" spans="2:9" x14ac:dyDescent="0.25">
      <c r="B191" s="9"/>
      <c r="C191" s="9"/>
      <c r="D191" s="9"/>
      <c r="E191" s="9"/>
      <c r="F191" s="9"/>
      <c r="G191" s="9"/>
      <c r="H191" s="9"/>
      <c r="I191" s="9"/>
    </row>
    <row r="192" spans="2:9" x14ac:dyDescent="0.25">
      <c r="B192" s="9"/>
      <c r="C192" s="9"/>
      <c r="D192" s="9"/>
      <c r="E192" s="9"/>
      <c r="F192" s="9"/>
      <c r="G192" s="9"/>
      <c r="H192" s="9"/>
      <c r="I192" s="9"/>
    </row>
    <row r="193" spans="2:9" x14ac:dyDescent="0.25">
      <c r="B193" s="9"/>
      <c r="C193" s="9"/>
      <c r="D193" s="9"/>
      <c r="E193" s="9"/>
      <c r="F193" s="9"/>
      <c r="G193" s="9"/>
      <c r="H193" s="9"/>
      <c r="I193" s="9"/>
    </row>
    <row r="194" spans="2:9" x14ac:dyDescent="0.25">
      <c r="B194" s="9"/>
      <c r="C194" s="9"/>
      <c r="D194" s="9"/>
      <c r="E194" s="9"/>
      <c r="F194" s="9"/>
      <c r="G194" s="9"/>
      <c r="H194" s="9"/>
      <c r="I194" s="9"/>
    </row>
    <row r="195" spans="2:9" x14ac:dyDescent="0.25">
      <c r="B195" s="9"/>
      <c r="C195" s="9"/>
      <c r="D195" s="9"/>
      <c r="E195" s="9"/>
      <c r="F195" s="9"/>
      <c r="G195" s="9"/>
      <c r="H195" s="9"/>
      <c r="I195" s="9"/>
    </row>
    <row r="196" spans="2:9" x14ac:dyDescent="0.25">
      <c r="B196" s="9"/>
      <c r="C196" s="9"/>
      <c r="D196" s="9"/>
      <c r="E196" s="9"/>
      <c r="F196" s="9"/>
      <c r="G196" s="9"/>
      <c r="H196" s="9"/>
      <c r="I196" s="9"/>
    </row>
    <row r="197" spans="2:9" x14ac:dyDescent="0.25">
      <c r="B197" s="9"/>
      <c r="C197" s="9"/>
      <c r="D197" s="9"/>
      <c r="E197" s="9"/>
      <c r="F197" s="9"/>
      <c r="G197" s="9"/>
      <c r="H197" s="9"/>
      <c r="I197" s="9"/>
    </row>
    <row r="198" spans="2:9" x14ac:dyDescent="0.25">
      <c r="B198" s="9"/>
      <c r="C198" s="9"/>
      <c r="D198" s="9"/>
      <c r="E198" s="9"/>
      <c r="F198" s="9"/>
      <c r="G198" s="9"/>
      <c r="H198" s="9"/>
      <c r="I198" s="9"/>
    </row>
    <row r="199" spans="2:9" x14ac:dyDescent="0.25">
      <c r="B199" s="9"/>
      <c r="C199" s="9"/>
      <c r="D199" s="9"/>
      <c r="E199" s="9"/>
      <c r="F199" s="9"/>
      <c r="G199" s="9"/>
      <c r="H199" s="9"/>
      <c r="I199" s="9"/>
    </row>
    <row r="200" spans="2:9" x14ac:dyDescent="0.25">
      <c r="B200" s="9"/>
      <c r="C200" s="9"/>
      <c r="D200" s="9"/>
      <c r="E200" s="9"/>
      <c r="F200" s="9"/>
      <c r="G200" s="9"/>
      <c r="H200" s="9"/>
      <c r="I200" s="9"/>
    </row>
    <row r="201" spans="2:9" x14ac:dyDescent="0.25">
      <c r="B201" s="9"/>
      <c r="C201" s="9"/>
      <c r="D201" s="9"/>
      <c r="E201" s="9"/>
      <c r="F201" s="9"/>
      <c r="G201" s="9"/>
      <c r="H201" s="9"/>
      <c r="I201" s="9"/>
    </row>
    <row r="202" spans="2:9" x14ac:dyDescent="0.25">
      <c r="B202" s="9"/>
      <c r="C202" s="9"/>
      <c r="D202" s="9"/>
      <c r="E202" s="9"/>
      <c r="F202" s="9"/>
      <c r="G202" s="9"/>
      <c r="H202" s="9"/>
      <c r="I202" s="9"/>
    </row>
    <row r="203" spans="2:9" x14ac:dyDescent="0.25">
      <c r="B203" s="9"/>
      <c r="C203" s="9"/>
      <c r="D203" s="9"/>
      <c r="E203" s="9"/>
      <c r="F203" s="9"/>
      <c r="G203" s="9"/>
      <c r="H203" s="9"/>
      <c r="I203" s="9"/>
    </row>
    <row r="204" spans="2:9" x14ac:dyDescent="0.25">
      <c r="B204" s="9"/>
      <c r="C204" s="9"/>
      <c r="D204" s="9"/>
      <c r="E204" s="9"/>
      <c r="F204" s="9"/>
      <c r="G204" s="9"/>
      <c r="H204" s="9"/>
      <c r="I204" s="9"/>
    </row>
    <row r="205" spans="2:9" x14ac:dyDescent="0.25">
      <c r="B205" s="9"/>
      <c r="C205" s="9"/>
      <c r="D205" s="9"/>
      <c r="E205" s="9"/>
      <c r="F205" s="9"/>
      <c r="G205" s="9"/>
      <c r="H205" s="9"/>
      <c r="I205" s="9"/>
    </row>
    <row r="206" spans="2:9" x14ac:dyDescent="0.25">
      <c r="B206" s="9"/>
      <c r="C206" s="9"/>
      <c r="D206" s="9"/>
      <c r="E206" s="9"/>
      <c r="F206" s="9"/>
      <c r="G206" s="9"/>
      <c r="H206" s="9"/>
      <c r="I206" s="9"/>
    </row>
    <row r="207" spans="2:9" x14ac:dyDescent="0.25">
      <c r="B207" s="9"/>
      <c r="C207" s="9"/>
      <c r="D207" s="9"/>
      <c r="E207" s="9"/>
      <c r="F207" s="9"/>
      <c r="G207" s="9"/>
      <c r="H207" s="9"/>
      <c r="I207" s="9"/>
    </row>
    <row r="208" spans="2:9" x14ac:dyDescent="0.25">
      <c r="B208" s="9"/>
      <c r="C208" s="9"/>
      <c r="D208" s="9"/>
      <c r="E208" s="9"/>
      <c r="F208" s="9"/>
      <c r="G208" s="9"/>
      <c r="H208" s="9"/>
      <c r="I208" s="9"/>
    </row>
    <row r="209" spans="2:9" x14ac:dyDescent="0.25">
      <c r="B209" s="9"/>
      <c r="C209" s="9"/>
      <c r="D209" s="9"/>
      <c r="E209" s="9"/>
      <c r="F209" s="9"/>
      <c r="G209" s="9"/>
      <c r="H209" s="9"/>
      <c r="I209" s="9"/>
    </row>
    <row r="210" spans="2:9" x14ac:dyDescent="0.25">
      <c r="B210" s="9"/>
      <c r="C210" s="9"/>
      <c r="D210" s="9"/>
      <c r="E210" s="9"/>
      <c r="F210" s="9"/>
      <c r="G210" s="9"/>
      <c r="H210" s="9"/>
      <c r="I210" s="9"/>
    </row>
    <row r="211" spans="2:9" x14ac:dyDescent="0.25">
      <c r="B211" s="9"/>
      <c r="C211" s="9"/>
      <c r="D211" s="9"/>
      <c r="E211" s="9"/>
      <c r="F211" s="9"/>
      <c r="G211" s="9"/>
      <c r="H211" s="9"/>
      <c r="I211" s="9"/>
    </row>
    <row r="212" spans="2:9" x14ac:dyDescent="0.25">
      <c r="B212" s="9"/>
      <c r="C212" s="9"/>
      <c r="D212" s="9"/>
      <c r="E212" s="9"/>
      <c r="F212" s="9"/>
      <c r="G212" s="9"/>
      <c r="H212" s="9"/>
      <c r="I212" s="9"/>
    </row>
    <row r="213" spans="2:9" x14ac:dyDescent="0.25">
      <c r="B213" s="9"/>
      <c r="C213" s="9"/>
      <c r="D213" s="9"/>
      <c r="E213" s="9"/>
      <c r="F213" s="9"/>
      <c r="G213" s="9"/>
      <c r="H213" s="9"/>
      <c r="I213" s="9"/>
    </row>
    <row r="214" spans="2:9" x14ac:dyDescent="0.25">
      <c r="B214" s="9"/>
      <c r="C214" s="9"/>
      <c r="D214" s="9"/>
      <c r="E214" s="9"/>
      <c r="F214" s="9"/>
      <c r="G214" s="9"/>
      <c r="H214" s="9"/>
      <c r="I214" s="9"/>
    </row>
    <row r="215" spans="2:9" x14ac:dyDescent="0.25">
      <c r="B215" s="9"/>
      <c r="C215" s="9"/>
      <c r="D215" s="9"/>
      <c r="E215" s="9"/>
      <c r="F215" s="9"/>
      <c r="G215" s="9"/>
      <c r="H215" s="9"/>
      <c r="I215" s="9"/>
    </row>
    <row r="216" spans="2:9" x14ac:dyDescent="0.25">
      <c r="B216" s="9"/>
      <c r="C216" s="9"/>
      <c r="D216" s="9"/>
      <c r="E216" s="9"/>
      <c r="F216" s="9"/>
      <c r="G216" s="9"/>
      <c r="H216" s="9"/>
      <c r="I216" s="9"/>
    </row>
    <row r="217" spans="2:9" x14ac:dyDescent="0.25">
      <c r="B217" s="9"/>
      <c r="C217" s="9"/>
      <c r="D217" s="9"/>
      <c r="E217" s="9"/>
      <c r="F217" s="9"/>
      <c r="G217" s="9"/>
      <c r="H217" s="9"/>
      <c r="I217" s="9"/>
    </row>
    <row r="218" spans="2:9" x14ac:dyDescent="0.25">
      <c r="B218" s="9"/>
      <c r="C218" s="9"/>
      <c r="D218" s="9"/>
      <c r="E218" s="9"/>
      <c r="F218" s="9"/>
      <c r="G218" s="9"/>
      <c r="H218" s="9"/>
      <c r="I218" s="9"/>
    </row>
    <row r="219" spans="2:9" x14ac:dyDescent="0.25">
      <c r="B219" s="9"/>
      <c r="C219" s="9"/>
      <c r="D219" s="9"/>
      <c r="E219" s="9"/>
      <c r="F219" s="9"/>
      <c r="G219" s="9"/>
      <c r="H219" s="9"/>
      <c r="I219" s="9"/>
    </row>
    <row r="220" spans="2:9" x14ac:dyDescent="0.25">
      <c r="B220" s="9"/>
      <c r="C220" s="9"/>
      <c r="D220" s="9"/>
      <c r="E220" s="9"/>
      <c r="F220" s="9"/>
      <c r="G220" s="9"/>
      <c r="H220" s="9"/>
      <c r="I220" s="9"/>
    </row>
    <row r="221" spans="2:9" x14ac:dyDescent="0.25">
      <c r="B221" s="9"/>
      <c r="C221" s="9"/>
      <c r="D221" s="9"/>
      <c r="E221" s="9"/>
      <c r="F221" s="9"/>
      <c r="G221" s="9"/>
      <c r="H221" s="9"/>
      <c r="I221" s="9"/>
    </row>
    <row r="222" spans="2:9" x14ac:dyDescent="0.25">
      <c r="B222" s="9"/>
      <c r="C222" s="9"/>
      <c r="D222" s="9"/>
      <c r="E222" s="9"/>
      <c r="F222" s="9"/>
      <c r="G222" s="9"/>
      <c r="H222" s="9"/>
      <c r="I222" s="9"/>
    </row>
    <row r="223" spans="2:9" x14ac:dyDescent="0.25">
      <c r="B223" s="9"/>
      <c r="C223" s="9"/>
      <c r="D223" s="9"/>
      <c r="E223" s="9"/>
      <c r="F223" s="9"/>
      <c r="G223" s="9"/>
      <c r="H223" s="9"/>
      <c r="I223" s="9"/>
    </row>
    <row r="224" spans="2:9" x14ac:dyDescent="0.25">
      <c r="B224" s="9"/>
      <c r="C224" s="9"/>
      <c r="D224" s="9"/>
      <c r="E224" s="9"/>
      <c r="F224" s="9"/>
      <c r="G224" s="9"/>
      <c r="H224" s="9"/>
      <c r="I224" s="9"/>
    </row>
    <row r="225" spans="2:9" x14ac:dyDescent="0.25">
      <c r="B225" s="9"/>
      <c r="C225" s="9"/>
      <c r="D225" s="9"/>
      <c r="E225" s="9"/>
      <c r="F225" s="9"/>
      <c r="G225" s="9"/>
      <c r="H225" s="9"/>
      <c r="I225" s="9"/>
    </row>
    <row r="226" spans="2:9" x14ac:dyDescent="0.25">
      <c r="B226" s="9"/>
      <c r="C226" s="9"/>
      <c r="D226" s="9"/>
      <c r="E226" s="9"/>
      <c r="F226" s="9"/>
      <c r="G226" s="9"/>
      <c r="H226" s="9"/>
      <c r="I226" s="9"/>
    </row>
    <row r="227" spans="2:9" x14ac:dyDescent="0.25">
      <c r="B227" s="9"/>
      <c r="C227" s="9"/>
      <c r="D227" s="9"/>
      <c r="E227" s="9"/>
      <c r="F227" s="9"/>
      <c r="G227" s="9"/>
      <c r="H227" s="9"/>
      <c r="I227" s="9"/>
    </row>
    <row r="228" spans="2:9" x14ac:dyDescent="0.25">
      <c r="B228" s="9"/>
      <c r="C228" s="9"/>
      <c r="D228" s="9"/>
      <c r="E228" s="9"/>
      <c r="F228" s="9"/>
      <c r="G228" s="9"/>
      <c r="H228" s="9"/>
      <c r="I228" s="9"/>
    </row>
    <row r="229" spans="2:9" x14ac:dyDescent="0.25">
      <c r="B229" s="9"/>
      <c r="C229" s="9"/>
      <c r="D229" s="9"/>
      <c r="E229" s="9"/>
      <c r="F229" s="9"/>
      <c r="G229" s="9"/>
      <c r="H229" s="9"/>
      <c r="I229" s="9"/>
    </row>
    <row r="230" spans="2:9" x14ac:dyDescent="0.25">
      <c r="B230" s="9"/>
      <c r="C230" s="9"/>
      <c r="D230" s="9"/>
      <c r="E230" s="9"/>
      <c r="F230" s="9"/>
      <c r="G230" s="9"/>
      <c r="H230" s="9"/>
      <c r="I230" s="9"/>
    </row>
    <row r="231" spans="2:9" x14ac:dyDescent="0.25">
      <c r="B231" s="9"/>
      <c r="C231" s="9"/>
      <c r="D231" s="9"/>
      <c r="E231" s="9"/>
      <c r="F231" s="9"/>
      <c r="G231" s="9"/>
      <c r="H231" s="9"/>
      <c r="I231" s="9"/>
    </row>
    <row r="232" spans="2:9" x14ac:dyDescent="0.25">
      <c r="B232" s="9"/>
      <c r="C232" s="9"/>
      <c r="D232" s="9"/>
      <c r="E232" s="9"/>
      <c r="F232" s="9"/>
      <c r="G232" s="9"/>
      <c r="H232" s="9"/>
      <c r="I232" s="9"/>
    </row>
    <row r="233" spans="2:9" x14ac:dyDescent="0.25">
      <c r="B233" s="9"/>
      <c r="C233" s="9"/>
      <c r="D233" s="9"/>
      <c r="E233" s="9"/>
      <c r="F233" s="9"/>
      <c r="G233" s="9"/>
      <c r="H233" s="9"/>
      <c r="I233" s="9"/>
    </row>
    <row r="234" spans="2:9" x14ac:dyDescent="0.25">
      <c r="B234" s="9"/>
      <c r="C234" s="9"/>
      <c r="D234" s="9"/>
      <c r="E234" s="9"/>
      <c r="F234" s="9"/>
      <c r="G234" s="9"/>
      <c r="H234" s="9"/>
      <c r="I234" s="9"/>
    </row>
    <row r="235" spans="2:9" x14ac:dyDescent="0.25">
      <c r="B235" s="9"/>
      <c r="C235" s="9"/>
      <c r="D235" s="9"/>
      <c r="E235" s="9"/>
      <c r="F235" s="9"/>
      <c r="G235" s="9"/>
      <c r="H235" s="9"/>
      <c r="I235" s="9"/>
    </row>
    <row r="236" spans="2:9" x14ac:dyDescent="0.25">
      <c r="B236" s="9"/>
      <c r="C236" s="9"/>
      <c r="D236" s="9"/>
      <c r="E236" s="9"/>
      <c r="F236" s="9"/>
      <c r="G236" s="9"/>
      <c r="H236" s="9"/>
      <c r="I236" s="9"/>
    </row>
    <row r="237" spans="2:9" x14ac:dyDescent="0.25">
      <c r="B237" s="9"/>
      <c r="C237" s="9"/>
      <c r="D237" s="9"/>
      <c r="E237" s="9"/>
      <c r="F237" s="9"/>
      <c r="G237" s="9"/>
      <c r="H237" s="9"/>
      <c r="I237" s="9"/>
    </row>
    <row r="238" spans="2:9" x14ac:dyDescent="0.25">
      <c r="B238" s="9"/>
      <c r="C238" s="9"/>
      <c r="D238" s="9"/>
      <c r="E238" s="9"/>
      <c r="F238" s="9"/>
      <c r="G238" s="9"/>
      <c r="H238" s="9"/>
      <c r="I238" s="9"/>
    </row>
    <row r="239" spans="2:9" x14ac:dyDescent="0.25">
      <c r="B239" s="9"/>
      <c r="C239" s="9"/>
      <c r="D239" s="9"/>
      <c r="E239" s="9"/>
      <c r="F239" s="9"/>
      <c r="G239" s="9"/>
      <c r="H239" s="9"/>
      <c r="I239" s="9"/>
    </row>
    <row r="240" spans="2:9" x14ac:dyDescent="0.25">
      <c r="B240" s="9"/>
      <c r="C240" s="9"/>
      <c r="D240" s="9"/>
      <c r="E240" s="9"/>
      <c r="F240" s="9"/>
      <c r="G240" s="9"/>
      <c r="H240" s="9"/>
      <c r="I240" s="9"/>
    </row>
    <row r="241" spans="2:9" x14ac:dyDescent="0.25">
      <c r="B241" s="9"/>
      <c r="C241" s="9"/>
      <c r="D241" s="9"/>
      <c r="E241" s="9"/>
      <c r="F241" s="9"/>
      <c r="G241" s="9"/>
      <c r="H241" s="9"/>
      <c r="I241" s="9"/>
    </row>
    <row r="242" spans="2:9" x14ac:dyDescent="0.25">
      <c r="B242" s="9"/>
      <c r="C242" s="9"/>
      <c r="D242" s="9"/>
      <c r="E242" s="9"/>
      <c r="F242" s="9"/>
      <c r="G242" s="9"/>
      <c r="H242" s="9"/>
      <c r="I242" s="9"/>
    </row>
    <row r="243" spans="2:9" x14ac:dyDescent="0.25">
      <c r="B243" s="9"/>
      <c r="C243" s="9"/>
      <c r="D243" s="9"/>
      <c r="E243" s="9"/>
      <c r="F243" s="9"/>
      <c r="G243" s="9"/>
      <c r="H243" s="9"/>
      <c r="I243" s="9"/>
    </row>
    <row r="244" spans="2:9" x14ac:dyDescent="0.25">
      <c r="B244" s="9"/>
      <c r="C244" s="9"/>
      <c r="D244" s="9"/>
      <c r="E244" s="9"/>
      <c r="F244" s="9"/>
      <c r="G244" s="9"/>
      <c r="H244" s="9"/>
      <c r="I244" s="9"/>
    </row>
    <row r="245" spans="2:9" x14ac:dyDescent="0.25">
      <c r="B245" s="9"/>
      <c r="C245" s="9"/>
      <c r="D245" s="9"/>
      <c r="E245" s="9"/>
      <c r="F245" s="9"/>
      <c r="G245" s="9"/>
      <c r="H245" s="9"/>
      <c r="I245" s="9"/>
    </row>
    <row r="246" spans="2:9" x14ac:dyDescent="0.25">
      <c r="B246" s="9"/>
      <c r="C246" s="9"/>
      <c r="D246" s="9"/>
      <c r="E246" s="9"/>
      <c r="F246" s="9"/>
      <c r="G246" s="9"/>
      <c r="H246" s="9"/>
      <c r="I246" s="9"/>
    </row>
    <row r="247" spans="2:9" x14ac:dyDescent="0.25">
      <c r="B247" s="9"/>
      <c r="C247" s="9"/>
      <c r="D247" s="9"/>
      <c r="E247" s="9"/>
      <c r="F247" s="9"/>
      <c r="G247" s="9"/>
      <c r="H247" s="9"/>
      <c r="I247" s="9"/>
    </row>
    <row r="248" spans="2:9" x14ac:dyDescent="0.25">
      <c r="B248" s="9"/>
      <c r="C248" s="9"/>
      <c r="D248" s="9"/>
      <c r="E248" s="9"/>
      <c r="F248" s="9"/>
      <c r="G248" s="9"/>
      <c r="H248" s="9"/>
      <c r="I248" s="9"/>
    </row>
    <row r="249" spans="2:9" x14ac:dyDescent="0.25">
      <c r="B249" s="9"/>
      <c r="C249" s="9"/>
      <c r="D249" s="9"/>
      <c r="E249" s="9"/>
      <c r="F249" s="9"/>
      <c r="G249" s="9"/>
      <c r="H249" s="9"/>
      <c r="I249" s="9"/>
    </row>
    <row r="250" spans="2:9" x14ac:dyDescent="0.25">
      <c r="B250" s="9"/>
      <c r="C250" s="9"/>
      <c r="D250" s="9"/>
      <c r="E250" s="9"/>
      <c r="F250" s="9"/>
      <c r="G250" s="9"/>
      <c r="H250" s="9"/>
      <c r="I250" s="9"/>
    </row>
    <row r="251" spans="2:9" x14ac:dyDescent="0.25">
      <c r="B251" s="9"/>
      <c r="C251" s="9"/>
      <c r="D251" s="9"/>
      <c r="E251" s="9"/>
      <c r="F251" s="9"/>
      <c r="G251" s="9"/>
      <c r="H251" s="9"/>
      <c r="I251" s="9"/>
    </row>
    <row r="252" spans="2:9" x14ac:dyDescent="0.25">
      <c r="B252" s="9"/>
      <c r="C252" s="9"/>
      <c r="D252" s="9"/>
      <c r="E252" s="9"/>
      <c r="F252" s="9"/>
      <c r="G252" s="9"/>
      <c r="H252" s="9"/>
      <c r="I252" s="9"/>
    </row>
    <row r="253" spans="2:9" x14ac:dyDescent="0.25">
      <c r="B253" s="9"/>
      <c r="C253" s="9"/>
      <c r="D253" s="9"/>
      <c r="E253" s="9"/>
      <c r="F253" s="9"/>
      <c r="G253" s="9"/>
      <c r="H253" s="9"/>
      <c r="I253" s="9"/>
    </row>
    <row r="254" spans="2:9" x14ac:dyDescent="0.25">
      <c r="B254" s="9"/>
      <c r="C254" s="9"/>
      <c r="D254" s="9"/>
      <c r="E254" s="9"/>
      <c r="F254" s="9"/>
      <c r="G254" s="9"/>
      <c r="H254" s="9"/>
      <c r="I254" s="9"/>
    </row>
    <row r="255" spans="2:9" x14ac:dyDescent="0.25">
      <c r="B255" s="9"/>
      <c r="C255" s="9"/>
      <c r="D255" s="9"/>
      <c r="E255" s="9"/>
      <c r="F255" s="9"/>
      <c r="G255" s="9"/>
      <c r="H255" s="9"/>
      <c r="I255" s="9"/>
    </row>
    <row r="256" spans="2:9" x14ac:dyDescent="0.25">
      <c r="B256" s="9"/>
      <c r="C256" s="9"/>
      <c r="D256" s="9"/>
      <c r="E256" s="9"/>
      <c r="F256" s="9"/>
      <c r="G256" s="9"/>
      <c r="H256" s="9"/>
      <c r="I256" s="9"/>
    </row>
    <row r="257" spans="2:9" x14ac:dyDescent="0.25">
      <c r="B257" s="9"/>
      <c r="C257" s="9"/>
      <c r="D257" s="9"/>
      <c r="E257" s="9"/>
      <c r="F257" s="9"/>
      <c r="G257" s="9"/>
      <c r="H257" s="9"/>
      <c r="I257" s="9"/>
    </row>
    <row r="258" spans="2:9" x14ac:dyDescent="0.25">
      <c r="B258" s="9"/>
      <c r="C258" s="9"/>
      <c r="D258" s="9"/>
      <c r="E258" s="9"/>
      <c r="F258" s="9"/>
      <c r="G258" s="9"/>
      <c r="H258" s="9"/>
      <c r="I258" s="9"/>
    </row>
    <row r="259" spans="2:9" x14ac:dyDescent="0.25">
      <c r="B259" s="9"/>
      <c r="C259" s="9"/>
      <c r="D259" s="9"/>
      <c r="E259" s="9"/>
      <c r="F259" s="9"/>
      <c r="G259" s="9"/>
      <c r="H259" s="9"/>
      <c r="I259" s="9"/>
    </row>
    <row r="260" spans="2:9" x14ac:dyDescent="0.25">
      <c r="B260" s="9"/>
      <c r="C260" s="9"/>
      <c r="D260" s="9"/>
      <c r="E260" s="9"/>
      <c r="F260" s="9"/>
      <c r="G260" s="9"/>
      <c r="H260" s="9"/>
      <c r="I260" s="9"/>
    </row>
    <row r="261" spans="2:9" x14ac:dyDescent="0.25">
      <c r="B261" s="9"/>
      <c r="C261" s="9"/>
      <c r="D261" s="9"/>
      <c r="E261" s="9"/>
      <c r="F261" s="9"/>
      <c r="G261" s="9"/>
      <c r="H261" s="9"/>
      <c r="I261" s="9"/>
    </row>
    <row r="262" spans="2:9" x14ac:dyDescent="0.25">
      <c r="B262" s="9"/>
      <c r="C262" s="9"/>
      <c r="D262" s="9"/>
      <c r="E262" s="9"/>
      <c r="F262" s="9"/>
      <c r="G262" s="9"/>
      <c r="H262" s="9"/>
      <c r="I262" s="9"/>
    </row>
    <row r="263" spans="2:9" x14ac:dyDescent="0.25">
      <c r="B263" s="9"/>
      <c r="C263" s="9"/>
      <c r="D263" s="9"/>
      <c r="E263" s="9"/>
      <c r="F263" s="9"/>
      <c r="G263" s="9"/>
      <c r="H263" s="9"/>
      <c r="I263" s="9"/>
    </row>
    <row r="264" spans="2:9" x14ac:dyDescent="0.25">
      <c r="B264" s="9"/>
      <c r="C264" s="9"/>
      <c r="D264" s="9"/>
      <c r="E264" s="9"/>
      <c r="F264" s="9"/>
      <c r="G264" s="9"/>
      <c r="H264" s="9"/>
      <c r="I264" s="9"/>
    </row>
    <row r="265" spans="2:9" x14ac:dyDescent="0.25">
      <c r="B265" s="9"/>
      <c r="C265" s="9"/>
      <c r="D265" s="9"/>
      <c r="E265" s="9"/>
      <c r="F265" s="9"/>
      <c r="G265" s="9"/>
      <c r="H265" s="9"/>
      <c r="I265" s="9"/>
    </row>
    <row r="266" spans="2:9" x14ac:dyDescent="0.25">
      <c r="B266" s="9"/>
      <c r="C266" s="9"/>
      <c r="D266" s="9"/>
      <c r="E266" s="9"/>
      <c r="F266" s="9"/>
      <c r="G266" s="9"/>
      <c r="H266" s="9"/>
      <c r="I266" s="9"/>
    </row>
    <row r="267" spans="2:9" x14ac:dyDescent="0.25">
      <c r="B267" s="9"/>
      <c r="C267" s="9"/>
      <c r="D267" s="9"/>
      <c r="E267" s="9"/>
      <c r="F267" s="9"/>
      <c r="G267" s="9"/>
      <c r="H267" s="9"/>
      <c r="I267" s="9"/>
    </row>
    <row r="268" spans="2:9" x14ac:dyDescent="0.25">
      <c r="B268" s="9"/>
      <c r="C268" s="9"/>
      <c r="D268" s="9"/>
      <c r="E268" s="9"/>
      <c r="F268" s="9"/>
      <c r="G268" s="9"/>
      <c r="H268" s="9"/>
      <c r="I268" s="9"/>
    </row>
    <row r="269" spans="2:9" x14ac:dyDescent="0.25">
      <c r="B269" s="9"/>
      <c r="C269" s="9"/>
      <c r="D269" s="9"/>
      <c r="E269" s="9"/>
      <c r="F269" s="9"/>
      <c r="G269" s="9"/>
      <c r="H269" s="9"/>
      <c r="I269" s="9"/>
    </row>
    <row r="270" spans="2:9" x14ac:dyDescent="0.25">
      <c r="B270" s="9"/>
      <c r="C270" s="9"/>
      <c r="D270" s="9"/>
      <c r="E270" s="9"/>
      <c r="F270" s="9"/>
      <c r="G270" s="9"/>
      <c r="H270" s="9"/>
      <c r="I270" s="9"/>
    </row>
    <row r="271" spans="2:9" x14ac:dyDescent="0.25">
      <c r="B271" s="9"/>
      <c r="C271" s="9"/>
      <c r="D271" s="9"/>
      <c r="E271" s="9"/>
      <c r="F271" s="9"/>
      <c r="G271" s="9"/>
      <c r="H271" s="9"/>
      <c r="I271" s="9"/>
    </row>
    <row r="272" spans="2:9" x14ac:dyDescent="0.25">
      <c r="B272" s="9"/>
      <c r="C272" s="9"/>
      <c r="D272" s="9"/>
      <c r="E272" s="9"/>
      <c r="F272" s="9"/>
      <c r="G272" s="9"/>
      <c r="H272" s="9"/>
      <c r="I272" s="9"/>
    </row>
    <row r="273" spans="2:9" x14ac:dyDescent="0.25">
      <c r="B273" s="9"/>
      <c r="C273" s="9"/>
      <c r="D273" s="9"/>
      <c r="E273" s="9"/>
      <c r="F273" s="9"/>
      <c r="G273" s="9"/>
      <c r="H273" s="9"/>
      <c r="I273" s="9"/>
    </row>
    <row r="274" spans="2:9" x14ac:dyDescent="0.25">
      <c r="B274" s="9"/>
      <c r="C274" s="9"/>
      <c r="D274" s="9"/>
      <c r="E274" s="9"/>
      <c r="F274" s="9"/>
      <c r="G274" s="9"/>
      <c r="H274" s="9"/>
      <c r="I274" s="9"/>
    </row>
    <row r="275" spans="2:9" x14ac:dyDescent="0.25">
      <c r="B275" s="9"/>
      <c r="C275" s="9"/>
      <c r="D275" s="9"/>
      <c r="E275" s="9"/>
      <c r="F275" s="9"/>
      <c r="G275" s="9"/>
      <c r="H275" s="9"/>
      <c r="I275" s="9"/>
    </row>
    <row r="276" spans="2:9" x14ac:dyDescent="0.25">
      <c r="B276" s="9"/>
      <c r="C276" s="9"/>
      <c r="D276" s="9"/>
      <c r="E276" s="9"/>
      <c r="F276" s="9"/>
      <c r="G276" s="9"/>
      <c r="H276" s="9"/>
      <c r="I276" s="9"/>
    </row>
    <row r="277" spans="2:9" x14ac:dyDescent="0.25">
      <c r="B277" s="9"/>
      <c r="C277" s="9"/>
      <c r="D277" s="9"/>
      <c r="E277" s="9"/>
      <c r="F277" s="9"/>
      <c r="G277" s="9"/>
      <c r="H277" s="9"/>
      <c r="I277" s="9"/>
    </row>
    <row r="278" spans="2:9" x14ac:dyDescent="0.25">
      <c r="B278" s="9"/>
      <c r="C278" s="9"/>
      <c r="D278" s="9"/>
      <c r="E278" s="9"/>
      <c r="F278" s="9"/>
      <c r="G278" s="9"/>
      <c r="H278" s="9"/>
      <c r="I278" s="9"/>
    </row>
    <row r="279" spans="2:9" x14ac:dyDescent="0.25">
      <c r="B279" s="9"/>
      <c r="C279" s="9"/>
      <c r="D279" s="9"/>
      <c r="E279" s="9"/>
      <c r="F279" s="9"/>
      <c r="G279" s="9"/>
      <c r="H279" s="9"/>
      <c r="I279" s="9"/>
    </row>
    <row r="280" spans="2:9" x14ac:dyDescent="0.25">
      <c r="B280" s="9"/>
      <c r="C280" s="9"/>
      <c r="D280" s="9"/>
      <c r="E280" s="9"/>
      <c r="F280" s="9"/>
      <c r="G280" s="9"/>
      <c r="H280" s="9"/>
      <c r="I280" s="9"/>
    </row>
    <row r="281" spans="2:9" x14ac:dyDescent="0.25">
      <c r="B281" s="9"/>
      <c r="C281" s="9"/>
      <c r="D281" s="9"/>
      <c r="E281" s="9"/>
      <c r="F281" s="9"/>
      <c r="G281" s="9"/>
      <c r="H281" s="9"/>
      <c r="I281" s="9"/>
    </row>
    <row r="282" spans="2:9" x14ac:dyDescent="0.25">
      <c r="B282" s="9"/>
      <c r="C282" s="9"/>
      <c r="D282" s="9"/>
      <c r="E282" s="9"/>
      <c r="F282" s="9"/>
      <c r="G282" s="9"/>
      <c r="H282" s="9"/>
      <c r="I282" s="9"/>
    </row>
    <row r="283" spans="2:9" x14ac:dyDescent="0.25">
      <c r="B283" s="9"/>
      <c r="C283" s="9"/>
      <c r="D283" s="9"/>
      <c r="E283" s="9"/>
      <c r="F283" s="9"/>
      <c r="G283" s="9"/>
      <c r="H283" s="9"/>
      <c r="I283" s="9"/>
    </row>
    <row r="284" spans="2:9" x14ac:dyDescent="0.25">
      <c r="B284" s="9"/>
      <c r="C284" s="9"/>
      <c r="D284" s="9"/>
      <c r="E284" s="9"/>
      <c r="F284" s="9"/>
      <c r="G284" s="9"/>
      <c r="H284" s="9"/>
      <c r="I284" s="9"/>
    </row>
    <row r="285" spans="2:9" x14ac:dyDescent="0.25">
      <c r="B285" s="9"/>
      <c r="C285" s="9"/>
      <c r="D285" s="9"/>
      <c r="E285" s="9"/>
      <c r="F285" s="9"/>
      <c r="G285" s="9"/>
      <c r="H285" s="9"/>
      <c r="I285" s="9"/>
    </row>
    <row r="286" spans="2:9" x14ac:dyDescent="0.25">
      <c r="B286" s="9"/>
      <c r="C286" s="9"/>
      <c r="D286" s="9"/>
      <c r="E286" s="9"/>
      <c r="F286" s="9"/>
      <c r="G286" s="9"/>
      <c r="H286" s="9"/>
      <c r="I286" s="9"/>
    </row>
    <row r="287" spans="2:9" x14ac:dyDescent="0.25">
      <c r="B287" s="9"/>
      <c r="C287" s="9"/>
      <c r="D287" s="9"/>
      <c r="E287" s="9"/>
      <c r="F287" s="9"/>
      <c r="G287" s="9"/>
      <c r="H287" s="9"/>
      <c r="I287" s="9"/>
    </row>
    <row r="288" spans="2:9" x14ac:dyDescent="0.25">
      <c r="B288" s="9"/>
      <c r="C288" s="9"/>
      <c r="D288" s="9"/>
      <c r="E288" s="9"/>
      <c r="F288" s="9"/>
      <c r="G288" s="9"/>
      <c r="H288" s="9"/>
      <c r="I288" s="9"/>
    </row>
    <row r="289" spans="2:9" x14ac:dyDescent="0.25">
      <c r="B289" s="9"/>
      <c r="C289" s="9"/>
      <c r="D289" s="9"/>
      <c r="E289" s="9"/>
      <c r="F289" s="9"/>
      <c r="G289" s="9"/>
      <c r="H289" s="9"/>
      <c r="I289" s="9"/>
    </row>
    <row r="290" spans="2:9" x14ac:dyDescent="0.25">
      <c r="B290" s="9"/>
      <c r="C290" s="9"/>
      <c r="D290" s="9"/>
      <c r="E290" s="9"/>
      <c r="F290" s="9"/>
      <c r="G290" s="9"/>
      <c r="H290" s="9"/>
      <c r="I290" s="9"/>
    </row>
    <row r="291" spans="2:9" x14ac:dyDescent="0.25">
      <c r="B291" s="9"/>
      <c r="C291" s="9"/>
      <c r="D291" s="9"/>
      <c r="E291" s="9"/>
      <c r="F291" s="9"/>
      <c r="G291" s="9"/>
      <c r="H291" s="9"/>
      <c r="I291" s="9"/>
    </row>
    <row r="292" spans="2:9" x14ac:dyDescent="0.25">
      <c r="B292" s="9"/>
      <c r="C292" s="9"/>
      <c r="D292" s="9"/>
      <c r="E292" s="9"/>
      <c r="F292" s="9"/>
      <c r="G292" s="9"/>
      <c r="H292" s="9"/>
      <c r="I292" s="9"/>
    </row>
    <row r="293" spans="2:9" x14ac:dyDescent="0.25">
      <c r="B293" s="9"/>
      <c r="C293" s="9"/>
      <c r="D293" s="9"/>
      <c r="E293" s="9"/>
      <c r="F293" s="9"/>
      <c r="G293" s="9"/>
      <c r="H293" s="9"/>
      <c r="I293" s="9"/>
    </row>
    <row r="294" spans="2:9" x14ac:dyDescent="0.25">
      <c r="B294" s="9"/>
      <c r="C294" s="9"/>
      <c r="D294" s="9"/>
      <c r="E294" s="9"/>
      <c r="F294" s="9"/>
      <c r="G294" s="9"/>
      <c r="H294" s="9"/>
      <c r="I294" s="9"/>
    </row>
    <row r="295" spans="2:9" x14ac:dyDescent="0.25">
      <c r="B295" s="9"/>
      <c r="C295" s="9"/>
      <c r="D295" s="9"/>
      <c r="E295" s="9"/>
      <c r="F295" s="9"/>
      <c r="G295" s="9"/>
      <c r="H295" s="9"/>
      <c r="I295" s="9"/>
    </row>
    <row r="296" spans="2:9" x14ac:dyDescent="0.25">
      <c r="B296" s="9"/>
      <c r="C296" s="9"/>
      <c r="D296" s="9"/>
      <c r="E296" s="9"/>
      <c r="F296" s="9"/>
      <c r="G296" s="9"/>
      <c r="H296" s="9"/>
      <c r="I296" s="9"/>
    </row>
    <row r="297" spans="2:9" x14ac:dyDescent="0.25">
      <c r="B297" s="9"/>
      <c r="C297" s="9"/>
      <c r="D297" s="9"/>
      <c r="E297" s="9"/>
      <c r="F297" s="9"/>
      <c r="G297" s="9"/>
      <c r="H297" s="9"/>
      <c r="I297" s="9"/>
    </row>
    <row r="298" spans="2:9" x14ac:dyDescent="0.25">
      <c r="B298" s="9"/>
      <c r="C298" s="9"/>
      <c r="D298" s="9"/>
      <c r="E298" s="9"/>
      <c r="F298" s="9"/>
      <c r="G298" s="9"/>
      <c r="H298" s="9"/>
      <c r="I298" s="9"/>
    </row>
    <row r="299" spans="2:9" x14ac:dyDescent="0.25">
      <c r="B299" s="9"/>
      <c r="C299" s="9"/>
      <c r="D299" s="9"/>
      <c r="E299" s="9"/>
      <c r="F299" s="9"/>
      <c r="G299" s="9"/>
      <c r="H299" s="9"/>
      <c r="I299" s="9"/>
    </row>
    <row r="300" spans="2:9" x14ac:dyDescent="0.25">
      <c r="B300" s="9"/>
      <c r="C300" s="9"/>
      <c r="D300" s="9"/>
      <c r="E300" s="9"/>
      <c r="F300" s="9"/>
      <c r="G300" s="9"/>
      <c r="H300" s="9"/>
      <c r="I300" s="9"/>
    </row>
    <row r="301" spans="2:9" x14ac:dyDescent="0.25">
      <c r="B301" s="9"/>
      <c r="C301" s="9"/>
      <c r="D301" s="9"/>
      <c r="E301" s="9"/>
      <c r="F301" s="9"/>
      <c r="G301" s="9"/>
      <c r="H301" s="9"/>
      <c r="I301" s="9"/>
    </row>
    <row r="302" spans="2:9" x14ac:dyDescent="0.25">
      <c r="B302" s="9"/>
      <c r="C302" s="9"/>
      <c r="D302" s="9"/>
      <c r="E302" s="9"/>
      <c r="F302" s="9"/>
      <c r="G302" s="9"/>
      <c r="H302" s="9"/>
      <c r="I302" s="9"/>
    </row>
    <row r="303" spans="2:9" x14ac:dyDescent="0.25">
      <c r="B303" s="9"/>
      <c r="C303" s="9"/>
      <c r="D303" s="9"/>
      <c r="E303" s="9"/>
      <c r="F303" s="9"/>
      <c r="G303" s="9"/>
      <c r="H303" s="9"/>
      <c r="I303" s="9"/>
    </row>
    <row r="304" spans="2:9" x14ac:dyDescent="0.25">
      <c r="B304" s="9"/>
      <c r="C304" s="9"/>
      <c r="D304" s="9"/>
      <c r="E304" s="9"/>
      <c r="F304" s="9"/>
      <c r="G304" s="9"/>
      <c r="H304" s="9"/>
      <c r="I304" s="9"/>
    </row>
    <row r="305" spans="2:9" x14ac:dyDescent="0.25">
      <c r="B305" s="9"/>
      <c r="C305" s="9"/>
      <c r="D305" s="9"/>
      <c r="E305" s="9"/>
      <c r="F305" s="9"/>
      <c r="G305" s="9"/>
      <c r="H305" s="9"/>
      <c r="I305" s="9"/>
    </row>
    <row r="306" spans="2:9" x14ac:dyDescent="0.25">
      <c r="B306" s="9"/>
      <c r="C306" s="9"/>
      <c r="D306" s="9"/>
      <c r="E306" s="9"/>
      <c r="F306" s="9"/>
      <c r="G306" s="9"/>
      <c r="H306" s="9"/>
      <c r="I306" s="9"/>
    </row>
    <row r="307" spans="2:9" x14ac:dyDescent="0.25">
      <c r="B307" s="9"/>
      <c r="C307" s="9"/>
      <c r="D307" s="9"/>
      <c r="E307" s="9"/>
      <c r="F307" s="9"/>
      <c r="G307" s="9"/>
      <c r="H307" s="9"/>
      <c r="I307" s="9"/>
    </row>
    <row r="308" spans="2:9" x14ac:dyDescent="0.25">
      <c r="B308" s="9"/>
      <c r="C308" s="9"/>
      <c r="D308" s="9"/>
      <c r="E308" s="9"/>
      <c r="F308" s="9"/>
      <c r="G308" s="9"/>
      <c r="H308" s="9"/>
      <c r="I308" s="9"/>
    </row>
    <row r="309" spans="2:9" x14ac:dyDescent="0.25">
      <c r="B309" s="9"/>
      <c r="C309" s="9"/>
      <c r="D309" s="9"/>
      <c r="E309" s="9"/>
      <c r="F309" s="9"/>
      <c r="G309" s="9"/>
      <c r="H309" s="9"/>
      <c r="I309" s="9"/>
    </row>
    <row r="310" spans="2:9" x14ac:dyDescent="0.25">
      <c r="B310" s="9"/>
      <c r="C310" s="9"/>
      <c r="D310" s="9"/>
      <c r="E310" s="9"/>
      <c r="F310" s="9"/>
      <c r="G310" s="9"/>
      <c r="H310" s="9"/>
      <c r="I310" s="9"/>
    </row>
    <row r="311" spans="2:9" x14ac:dyDescent="0.25">
      <c r="B311" s="9"/>
      <c r="C311" s="9"/>
      <c r="D311" s="9"/>
      <c r="E311" s="9"/>
      <c r="F311" s="9"/>
      <c r="G311" s="9"/>
      <c r="H311" s="9"/>
      <c r="I311" s="9"/>
    </row>
    <row r="312" spans="2:9" x14ac:dyDescent="0.25">
      <c r="B312" s="9"/>
      <c r="C312" s="9"/>
      <c r="D312" s="9"/>
      <c r="E312" s="9"/>
      <c r="F312" s="9"/>
      <c r="G312" s="9"/>
      <c r="H312" s="9"/>
      <c r="I312" s="9"/>
    </row>
    <row r="313" spans="2:9" x14ac:dyDescent="0.25">
      <c r="B313" s="9"/>
      <c r="C313" s="9"/>
      <c r="D313" s="9"/>
      <c r="E313" s="9"/>
      <c r="F313" s="9"/>
      <c r="G313" s="9"/>
      <c r="H313" s="9"/>
      <c r="I313" s="9"/>
    </row>
    <row r="314" spans="2:9" x14ac:dyDescent="0.25">
      <c r="B314" s="9"/>
      <c r="C314" s="9"/>
      <c r="D314" s="9"/>
      <c r="E314" s="9"/>
      <c r="F314" s="9"/>
      <c r="G314" s="9"/>
      <c r="H314" s="9"/>
      <c r="I314" s="9"/>
    </row>
    <row r="315" spans="2:9" x14ac:dyDescent="0.25">
      <c r="B315" s="9"/>
      <c r="C315" s="9"/>
      <c r="D315" s="9"/>
      <c r="E315" s="9"/>
      <c r="F315" s="9"/>
      <c r="G315" s="9"/>
      <c r="H315" s="9"/>
      <c r="I315" s="9"/>
    </row>
    <row r="316" spans="2:9" x14ac:dyDescent="0.25">
      <c r="B316" s="9"/>
      <c r="C316" s="9"/>
      <c r="D316" s="9"/>
      <c r="E316" s="9"/>
      <c r="F316" s="9"/>
      <c r="G316" s="9"/>
      <c r="H316" s="9"/>
      <c r="I316" s="9"/>
    </row>
    <row r="317" spans="2:9" x14ac:dyDescent="0.25">
      <c r="B317" s="9"/>
      <c r="C317" s="9"/>
      <c r="D317" s="9"/>
      <c r="E317" s="9"/>
      <c r="F317" s="9"/>
      <c r="G317" s="9"/>
      <c r="H317" s="9"/>
      <c r="I317" s="9"/>
    </row>
    <row r="318" spans="2:9" x14ac:dyDescent="0.25">
      <c r="B318" s="9"/>
      <c r="C318" s="9"/>
      <c r="D318" s="9"/>
      <c r="E318" s="9"/>
      <c r="F318" s="9"/>
      <c r="G318" s="9"/>
      <c r="H318" s="9"/>
      <c r="I318" s="9"/>
    </row>
    <row r="319" spans="2:9" x14ac:dyDescent="0.25">
      <c r="B319" s="9"/>
      <c r="C319" s="9"/>
      <c r="D319" s="9"/>
      <c r="E319" s="9"/>
      <c r="F319" s="9"/>
      <c r="G319" s="9"/>
      <c r="H319" s="9"/>
      <c r="I319" s="9"/>
    </row>
    <row r="320" spans="2:9" x14ac:dyDescent="0.25">
      <c r="B320" s="9"/>
      <c r="C320" s="9"/>
      <c r="D320" s="9"/>
      <c r="E320" s="9"/>
      <c r="F320" s="9"/>
      <c r="G320" s="9"/>
      <c r="H320" s="9"/>
      <c r="I320" s="9"/>
    </row>
    <row r="321" spans="2:9" x14ac:dyDescent="0.25">
      <c r="B321" s="9"/>
      <c r="C321" s="9"/>
      <c r="D321" s="9"/>
      <c r="E321" s="9"/>
      <c r="F321" s="9"/>
      <c r="G321" s="9"/>
      <c r="H321" s="9"/>
      <c r="I321" s="9"/>
    </row>
    <row r="322" spans="2:9" x14ac:dyDescent="0.25">
      <c r="B322" s="9"/>
      <c r="C322" s="9"/>
      <c r="D322" s="9"/>
      <c r="E322" s="9"/>
      <c r="F322" s="9"/>
      <c r="G322" s="9"/>
      <c r="H322" s="9"/>
      <c r="I322" s="9"/>
    </row>
    <row r="323" spans="2:9" x14ac:dyDescent="0.25">
      <c r="B323" s="9"/>
      <c r="C323" s="9"/>
      <c r="D323" s="9"/>
      <c r="E323" s="9"/>
      <c r="F323" s="9"/>
      <c r="G323" s="9"/>
      <c r="H323" s="9"/>
      <c r="I323" s="9"/>
    </row>
    <row r="324" spans="2:9" x14ac:dyDescent="0.25">
      <c r="B324" s="9"/>
      <c r="C324" s="9"/>
      <c r="D324" s="9"/>
      <c r="E324" s="9"/>
      <c r="F324" s="9"/>
      <c r="G324" s="9"/>
      <c r="H324" s="9"/>
      <c r="I324" s="9"/>
    </row>
    <row r="325" spans="2:9" x14ac:dyDescent="0.25">
      <c r="B325" s="9"/>
      <c r="C325" s="9"/>
      <c r="D325" s="9"/>
      <c r="E325" s="9"/>
      <c r="F325" s="9"/>
      <c r="G325" s="9"/>
      <c r="H325" s="9"/>
      <c r="I325" s="9"/>
    </row>
    <row r="326" spans="2:9" x14ac:dyDescent="0.25">
      <c r="B326" s="9"/>
      <c r="C326" s="9"/>
      <c r="D326" s="9"/>
      <c r="E326" s="9"/>
      <c r="F326" s="9"/>
      <c r="G326" s="9"/>
      <c r="H326" s="9"/>
      <c r="I326" s="9"/>
    </row>
    <row r="327" spans="2:9" x14ac:dyDescent="0.25">
      <c r="B327" s="9"/>
      <c r="C327" s="9"/>
      <c r="D327" s="9"/>
      <c r="E327" s="9"/>
      <c r="F327" s="9"/>
      <c r="G327" s="9"/>
      <c r="H327" s="9"/>
      <c r="I327" s="9"/>
    </row>
    <row r="328" spans="2:9" x14ac:dyDescent="0.25">
      <c r="B328" s="9"/>
      <c r="C328" s="9"/>
      <c r="D328" s="9"/>
      <c r="E328" s="9"/>
      <c r="F328" s="9"/>
      <c r="G328" s="9"/>
      <c r="H328" s="9"/>
      <c r="I328" s="9"/>
    </row>
    <row r="329" spans="2:9" x14ac:dyDescent="0.25">
      <c r="B329" s="9"/>
      <c r="C329" s="9"/>
      <c r="D329" s="9"/>
      <c r="E329" s="9"/>
      <c r="F329" s="9"/>
      <c r="G329" s="9"/>
      <c r="H329" s="9"/>
      <c r="I329" s="9"/>
    </row>
    <row r="330" spans="2:9" x14ac:dyDescent="0.25">
      <c r="B330" s="9"/>
      <c r="C330" s="9"/>
      <c r="D330" s="9"/>
      <c r="E330" s="9"/>
      <c r="F330" s="9"/>
      <c r="G330" s="9"/>
      <c r="H330" s="9"/>
      <c r="I330" s="9"/>
    </row>
    <row r="331" spans="2:9" x14ac:dyDescent="0.25">
      <c r="B331" s="9"/>
      <c r="C331" s="9"/>
      <c r="D331" s="9"/>
      <c r="E331" s="9"/>
      <c r="F331" s="9"/>
      <c r="G331" s="9"/>
      <c r="H331" s="9"/>
      <c r="I331" s="9"/>
    </row>
    <row r="332" spans="2:9" x14ac:dyDescent="0.25">
      <c r="B332" s="9"/>
      <c r="C332" s="9"/>
      <c r="D332" s="9"/>
      <c r="E332" s="9"/>
      <c r="F332" s="9"/>
      <c r="G332" s="9"/>
      <c r="H332" s="9"/>
      <c r="I332" s="9"/>
    </row>
    <row r="333" spans="2:9" x14ac:dyDescent="0.25">
      <c r="B333" s="9"/>
      <c r="C333" s="9"/>
      <c r="D333" s="9"/>
      <c r="E333" s="9"/>
      <c r="F333" s="9"/>
      <c r="G333" s="9"/>
      <c r="H333" s="9"/>
      <c r="I333" s="9"/>
    </row>
    <row r="334" spans="2:9" x14ac:dyDescent="0.25">
      <c r="B334" s="9"/>
      <c r="C334" s="9"/>
      <c r="D334" s="9"/>
      <c r="E334" s="9"/>
      <c r="F334" s="9"/>
      <c r="G334" s="9"/>
      <c r="H334" s="9"/>
      <c r="I334" s="9"/>
    </row>
    <row r="335" spans="2:9" x14ac:dyDescent="0.25">
      <c r="B335" s="9"/>
      <c r="C335" s="9"/>
      <c r="D335" s="9"/>
      <c r="E335" s="9"/>
      <c r="F335" s="9"/>
      <c r="G335" s="9"/>
      <c r="H335" s="9"/>
      <c r="I335" s="9"/>
    </row>
    <row r="336" spans="2:9" x14ac:dyDescent="0.25">
      <c r="B336" s="9"/>
      <c r="C336" s="9"/>
      <c r="D336" s="9"/>
      <c r="E336" s="9"/>
      <c r="F336" s="9"/>
      <c r="G336" s="9"/>
      <c r="H336" s="9"/>
      <c r="I336" s="9"/>
    </row>
    <row r="337" spans="2:9" x14ac:dyDescent="0.25">
      <c r="B337" s="9"/>
      <c r="C337" s="9"/>
      <c r="D337" s="9"/>
      <c r="E337" s="9"/>
      <c r="F337" s="9"/>
      <c r="G337" s="9"/>
      <c r="H337" s="9"/>
      <c r="I337" s="9"/>
    </row>
    <row r="338" spans="2:9" x14ac:dyDescent="0.25">
      <c r="B338" s="9"/>
      <c r="C338" s="9"/>
      <c r="D338" s="9"/>
      <c r="E338" s="9"/>
      <c r="F338" s="9"/>
      <c r="G338" s="9"/>
      <c r="H338" s="9"/>
      <c r="I338" s="9"/>
    </row>
    <row r="339" spans="2:9" x14ac:dyDescent="0.25">
      <c r="B339" s="9"/>
      <c r="C339" s="9"/>
      <c r="D339" s="9"/>
      <c r="E339" s="9"/>
      <c r="F339" s="9"/>
      <c r="G339" s="9"/>
      <c r="H339" s="9"/>
      <c r="I339" s="9"/>
    </row>
    <row r="340" spans="2:9" x14ac:dyDescent="0.25">
      <c r="B340" s="9"/>
      <c r="C340" s="9"/>
      <c r="D340" s="9"/>
      <c r="E340" s="9"/>
      <c r="F340" s="9"/>
      <c r="G340" s="9"/>
      <c r="H340" s="9"/>
      <c r="I340" s="9"/>
    </row>
    <row r="341" spans="2:9" x14ac:dyDescent="0.25">
      <c r="B341" s="9"/>
      <c r="C341" s="9"/>
      <c r="D341" s="9"/>
      <c r="E341" s="9"/>
      <c r="F341" s="9"/>
      <c r="G341" s="9"/>
      <c r="H341" s="9"/>
      <c r="I341" s="9"/>
    </row>
    <row r="342" spans="2:9" x14ac:dyDescent="0.25">
      <c r="B342" s="9"/>
      <c r="C342" s="9"/>
      <c r="D342" s="9"/>
      <c r="E342" s="9"/>
      <c r="F342" s="9"/>
      <c r="G342" s="9"/>
      <c r="H342" s="9"/>
      <c r="I342" s="9"/>
    </row>
    <row r="343" spans="2:9" x14ac:dyDescent="0.25">
      <c r="B343" s="9"/>
      <c r="C343" s="9"/>
      <c r="D343" s="9"/>
      <c r="E343" s="9"/>
      <c r="F343" s="9"/>
      <c r="G343" s="9"/>
      <c r="H343" s="9"/>
      <c r="I343" s="9"/>
    </row>
    <row r="344" spans="2:9" x14ac:dyDescent="0.25">
      <c r="B344" s="9"/>
      <c r="C344" s="9"/>
      <c r="D344" s="9"/>
      <c r="E344" s="9"/>
      <c r="F344" s="9"/>
      <c r="G344" s="9"/>
      <c r="H344" s="9"/>
      <c r="I344" s="9"/>
    </row>
    <row r="345" spans="2:9" x14ac:dyDescent="0.25">
      <c r="B345" s="9"/>
      <c r="C345" s="9"/>
      <c r="D345" s="9"/>
      <c r="E345" s="9"/>
      <c r="F345" s="9"/>
      <c r="G345" s="9"/>
      <c r="H345" s="9"/>
      <c r="I345" s="9"/>
    </row>
    <row r="346" spans="2:9" x14ac:dyDescent="0.25">
      <c r="B346" s="9"/>
      <c r="C346" s="9"/>
      <c r="D346" s="9"/>
      <c r="E346" s="9"/>
      <c r="F346" s="9"/>
      <c r="G346" s="9"/>
      <c r="H346" s="9"/>
      <c r="I346" s="9"/>
    </row>
    <row r="347" spans="2:9" x14ac:dyDescent="0.25">
      <c r="B347" s="9"/>
      <c r="C347" s="9"/>
      <c r="D347" s="9"/>
      <c r="E347" s="9"/>
      <c r="F347" s="9"/>
      <c r="G347" s="9"/>
      <c r="H347" s="9"/>
      <c r="I347" s="9"/>
    </row>
    <row r="348" spans="2:9" x14ac:dyDescent="0.25">
      <c r="B348" s="9"/>
      <c r="C348" s="9"/>
      <c r="D348" s="9"/>
      <c r="E348" s="9"/>
      <c r="F348" s="9"/>
      <c r="G348" s="9"/>
      <c r="H348" s="9"/>
      <c r="I348" s="9"/>
    </row>
    <row r="349" spans="2:9" x14ac:dyDescent="0.25">
      <c r="B349" s="9"/>
      <c r="C349" s="9"/>
      <c r="D349" s="9"/>
      <c r="E349" s="9"/>
      <c r="F349" s="9"/>
      <c r="G349" s="9"/>
      <c r="H349" s="9"/>
      <c r="I349" s="9"/>
    </row>
    <row r="350" spans="2:9" x14ac:dyDescent="0.25">
      <c r="B350" s="9"/>
      <c r="C350" s="9"/>
      <c r="D350" s="9"/>
      <c r="E350" s="9"/>
      <c r="F350" s="9"/>
      <c r="G350" s="9"/>
      <c r="H350" s="9"/>
      <c r="I350" s="9"/>
    </row>
    <row r="351" spans="2:9" x14ac:dyDescent="0.25">
      <c r="B351" s="9"/>
      <c r="C351" s="9"/>
      <c r="D351" s="9"/>
      <c r="E351" s="9"/>
      <c r="F351" s="9"/>
      <c r="G351" s="9"/>
      <c r="H351" s="9"/>
      <c r="I351" s="9"/>
    </row>
    <row r="352" spans="2:9" x14ac:dyDescent="0.25">
      <c r="B352" s="9"/>
      <c r="C352" s="9"/>
      <c r="D352" s="9"/>
      <c r="E352" s="9"/>
      <c r="F352" s="9"/>
      <c r="G352" s="9"/>
      <c r="H352" s="9"/>
      <c r="I352" s="9"/>
    </row>
    <row r="353" spans="2:9" x14ac:dyDescent="0.25">
      <c r="B353" s="9"/>
      <c r="C353" s="9"/>
      <c r="D353" s="9"/>
      <c r="E353" s="9"/>
      <c r="F353" s="9"/>
      <c r="G353" s="9"/>
      <c r="H353" s="9"/>
      <c r="I353" s="9"/>
    </row>
    <row r="354" spans="2:9" x14ac:dyDescent="0.25">
      <c r="B354" s="9"/>
      <c r="C354" s="9"/>
      <c r="D354" s="9"/>
      <c r="E354" s="9"/>
      <c r="F354" s="9"/>
      <c r="G354" s="9"/>
      <c r="H354" s="9"/>
      <c r="I354" s="9"/>
    </row>
    <row r="355" spans="2:9" x14ac:dyDescent="0.25">
      <c r="B355" s="9"/>
      <c r="C355" s="9"/>
      <c r="D355" s="9"/>
      <c r="E355" s="9"/>
      <c r="F355" s="9"/>
      <c r="G355" s="9"/>
      <c r="H355" s="9"/>
      <c r="I355" s="9"/>
    </row>
    <row r="356" spans="2:9" x14ac:dyDescent="0.25">
      <c r="B356" s="9"/>
      <c r="C356" s="9"/>
      <c r="D356" s="9"/>
      <c r="E356" s="9"/>
      <c r="F356" s="9"/>
      <c r="G356" s="9"/>
      <c r="H356" s="9"/>
      <c r="I356" s="9"/>
    </row>
    <row r="357" spans="2:9" x14ac:dyDescent="0.25">
      <c r="B357" s="9"/>
      <c r="C357" s="9"/>
      <c r="D357" s="9"/>
      <c r="E357" s="9"/>
      <c r="F357" s="9"/>
      <c r="G357" s="9"/>
      <c r="H357" s="9"/>
      <c r="I357" s="9"/>
    </row>
    <row r="358" spans="2:9" x14ac:dyDescent="0.25">
      <c r="B358" s="9"/>
      <c r="C358" s="9"/>
      <c r="D358" s="9"/>
      <c r="E358" s="9"/>
      <c r="F358" s="9"/>
      <c r="G358" s="9"/>
      <c r="H358" s="9"/>
      <c r="I358" s="9"/>
    </row>
    <row r="359" spans="2:9" x14ac:dyDescent="0.25">
      <c r="B359" s="9"/>
      <c r="C359" s="9"/>
      <c r="D359" s="9"/>
      <c r="E359" s="9"/>
      <c r="F359" s="9"/>
      <c r="G359" s="9"/>
      <c r="H359" s="9"/>
      <c r="I359" s="9"/>
    </row>
    <row r="360" spans="2:9" x14ac:dyDescent="0.25">
      <c r="B360" s="9"/>
      <c r="C360" s="9"/>
      <c r="D360" s="9"/>
      <c r="E360" s="9"/>
      <c r="F360" s="9"/>
      <c r="G360" s="9"/>
      <c r="H360" s="9"/>
      <c r="I360" s="9"/>
    </row>
    <row r="361" spans="2:9" x14ac:dyDescent="0.25">
      <c r="B361" s="9"/>
      <c r="C361" s="9"/>
      <c r="D361" s="9"/>
      <c r="E361" s="9"/>
      <c r="F361" s="9"/>
      <c r="G361" s="9"/>
      <c r="H361" s="9"/>
      <c r="I361" s="9"/>
    </row>
    <row r="362" spans="2:9" x14ac:dyDescent="0.25">
      <c r="B362" s="9"/>
      <c r="C362" s="9"/>
      <c r="D362" s="9"/>
      <c r="E362" s="9"/>
      <c r="F362" s="9"/>
      <c r="G362" s="9"/>
      <c r="H362" s="9"/>
      <c r="I362" s="9"/>
    </row>
    <row r="363" spans="2:9" x14ac:dyDescent="0.25">
      <c r="B363" s="9"/>
      <c r="C363" s="9"/>
      <c r="D363" s="9"/>
      <c r="E363" s="9"/>
      <c r="F363" s="9"/>
      <c r="G363" s="9"/>
      <c r="H363" s="9"/>
      <c r="I363" s="9"/>
    </row>
    <row r="364" spans="2:9" x14ac:dyDescent="0.25">
      <c r="B364" s="9"/>
      <c r="C364" s="9"/>
      <c r="D364" s="9"/>
      <c r="E364" s="9"/>
      <c r="F364" s="9"/>
      <c r="G364" s="9"/>
      <c r="H364" s="9"/>
      <c r="I364" s="9"/>
    </row>
    <row r="365" spans="2:9" x14ac:dyDescent="0.25">
      <c r="B365" s="9"/>
      <c r="C365" s="9"/>
      <c r="D365" s="9"/>
      <c r="E365" s="9"/>
      <c r="F365" s="9"/>
      <c r="G365" s="9"/>
      <c r="H365" s="9"/>
      <c r="I365" s="9"/>
    </row>
    <row r="366" spans="2:9" x14ac:dyDescent="0.25">
      <c r="B366" s="9"/>
      <c r="C366" s="9"/>
      <c r="D366" s="9"/>
      <c r="E366" s="9"/>
      <c r="F366" s="9"/>
      <c r="G366" s="9"/>
      <c r="H366" s="9"/>
      <c r="I366" s="9"/>
    </row>
    <row r="367" spans="2:9" x14ac:dyDescent="0.25">
      <c r="B367" s="9"/>
      <c r="C367" s="9"/>
      <c r="D367" s="9"/>
      <c r="E367" s="9"/>
      <c r="F367" s="9"/>
      <c r="G367" s="9"/>
      <c r="H367" s="9"/>
      <c r="I367" s="9"/>
    </row>
    <row r="368" spans="2:9" x14ac:dyDescent="0.25">
      <c r="B368" s="9"/>
      <c r="C368" s="9"/>
      <c r="D368" s="9"/>
      <c r="E368" s="9"/>
      <c r="F368" s="9"/>
      <c r="G368" s="9"/>
      <c r="H368" s="9"/>
      <c r="I368" s="9"/>
    </row>
    <row r="369" spans="2:9" x14ac:dyDescent="0.25">
      <c r="B369" s="9"/>
      <c r="C369" s="9"/>
      <c r="D369" s="9"/>
      <c r="E369" s="9"/>
      <c r="F369" s="9"/>
      <c r="G369" s="9"/>
      <c r="H369" s="9"/>
      <c r="I369" s="9"/>
    </row>
    <row r="370" spans="2:9" x14ac:dyDescent="0.25">
      <c r="B370" s="9"/>
      <c r="C370" s="9"/>
      <c r="D370" s="9"/>
      <c r="E370" s="9"/>
      <c r="F370" s="9"/>
      <c r="G370" s="9"/>
      <c r="H370" s="9"/>
      <c r="I370" s="9"/>
    </row>
    <row r="371" spans="2:9" x14ac:dyDescent="0.25">
      <c r="B371" s="9"/>
      <c r="C371" s="9"/>
      <c r="D371" s="9"/>
      <c r="E371" s="9"/>
      <c r="F371" s="9"/>
      <c r="G371" s="9"/>
      <c r="H371" s="9"/>
      <c r="I371" s="9"/>
    </row>
    <row r="372" spans="2:9" x14ac:dyDescent="0.25">
      <c r="B372" s="9"/>
      <c r="C372" s="9"/>
      <c r="D372" s="9"/>
      <c r="E372" s="9"/>
      <c r="F372" s="9"/>
      <c r="G372" s="9"/>
      <c r="H372" s="9"/>
      <c r="I372" s="9"/>
    </row>
    <row r="373" spans="2:9" x14ac:dyDescent="0.25">
      <c r="B373" s="9"/>
      <c r="C373" s="9"/>
      <c r="D373" s="9"/>
      <c r="E373" s="9"/>
      <c r="F373" s="9"/>
      <c r="G373" s="9"/>
      <c r="H373" s="9"/>
      <c r="I373" s="9"/>
    </row>
    <row r="374" spans="2:9" x14ac:dyDescent="0.25">
      <c r="B374" s="9"/>
      <c r="C374" s="9"/>
      <c r="D374" s="9"/>
      <c r="E374" s="9"/>
      <c r="F374" s="9"/>
      <c r="G374" s="9"/>
      <c r="H374" s="9"/>
      <c r="I374" s="9"/>
    </row>
    <row r="375" spans="2:9" x14ac:dyDescent="0.25">
      <c r="B375" s="9"/>
      <c r="C375" s="9"/>
      <c r="D375" s="9"/>
      <c r="E375" s="9"/>
      <c r="F375" s="9"/>
      <c r="G375" s="9"/>
      <c r="H375" s="9"/>
      <c r="I375" s="9"/>
    </row>
    <row r="376" spans="2:9" x14ac:dyDescent="0.25">
      <c r="B376" s="9"/>
      <c r="C376" s="9"/>
      <c r="D376" s="9"/>
      <c r="E376" s="9"/>
      <c r="F376" s="9"/>
      <c r="G376" s="9"/>
      <c r="H376" s="9"/>
      <c r="I376" s="9"/>
    </row>
    <row r="377" spans="2:9" x14ac:dyDescent="0.25">
      <c r="B377" s="9"/>
      <c r="C377" s="9"/>
      <c r="D377" s="9"/>
      <c r="E377" s="9"/>
      <c r="F377" s="9"/>
      <c r="G377" s="9"/>
      <c r="H377" s="9"/>
      <c r="I377" s="9"/>
    </row>
    <row r="378" spans="2:9" x14ac:dyDescent="0.25">
      <c r="B378" s="9"/>
      <c r="C378" s="9"/>
      <c r="D378" s="9"/>
      <c r="E378" s="9"/>
      <c r="F378" s="9"/>
      <c r="G378" s="9"/>
      <c r="H378" s="9"/>
      <c r="I378" s="9"/>
    </row>
    <row r="379" spans="2:9" x14ac:dyDescent="0.25">
      <c r="B379" s="9"/>
      <c r="C379" s="9"/>
      <c r="D379" s="9"/>
      <c r="E379" s="9"/>
      <c r="F379" s="9"/>
      <c r="G379" s="9"/>
      <c r="H379" s="9"/>
      <c r="I379" s="9"/>
    </row>
    <row r="380" spans="2:9" x14ac:dyDescent="0.25">
      <c r="B380" s="9"/>
      <c r="C380" s="9"/>
      <c r="D380" s="9"/>
      <c r="E380" s="9"/>
      <c r="F380" s="9"/>
      <c r="G380" s="9"/>
      <c r="H380" s="9"/>
      <c r="I380" s="9"/>
    </row>
    <row r="381" spans="2:9" x14ac:dyDescent="0.25">
      <c r="B381" s="9"/>
      <c r="C381" s="9"/>
      <c r="D381" s="9"/>
      <c r="E381" s="9"/>
      <c r="F381" s="9"/>
      <c r="G381" s="9"/>
      <c r="H381" s="9"/>
      <c r="I381" s="9"/>
    </row>
    <row r="382" spans="2:9" x14ac:dyDescent="0.25">
      <c r="B382" s="9"/>
      <c r="C382" s="9"/>
      <c r="D382" s="9"/>
      <c r="E382" s="9"/>
      <c r="F382" s="9"/>
      <c r="G382" s="9"/>
      <c r="H382" s="9"/>
      <c r="I382" s="9"/>
    </row>
    <row r="383" spans="2:9" x14ac:dyDescent="0.25">
      <c r="B383" s="9"/>
      <c r="C383" s="9"/>
      <c r="D383" s="9"/>
      <c r="E383" s="9"/>
      <c r="F383" s="9"/>
      <c r="G383" s="9"/>
      <c r="H383" s="9"/>
      <c r="I383" s="9"/>
    </row>
    <row r="384" spans="2:9" x14ac:dyDescent="0.25">
      <c r="B384" s="9"/>
      <c r="C384" s="9"/>
      <c r="D384" s="9"/>
      <c r="E384" s="9"/>
      <c r="F384" s="9"/>
      <c r="G384" s="9"/>
      <c r="H384" s="9"/>
      <c r="I384" s="9"/>
    </row>
    <row r="385" spans="2:9" x14ac:dyDescent="0.25">
      <c r="B385" s="9"/>
      <c r="C385" s="9"/>
      <c r="D385" s="9"/>
      <c r="E385" s="9"/>
      <c r="F385" s="9"/>
      <c r="G385" s="9"/>
      <c r="H385" s="9"/>
      <c r="I385" s="9"/>
    </row>
    <row r="386" spans="2:9" x14ac:dyDescent="0.25">
      <c r="B386" s="9"/>
      <c r="C386" s="9"/>
      <c r="D386" s="9"/>
      <c r="E386" s="9"/>
      <c r="F386" s="9"/>
      <c r="G386" s="9"/>
      <c r="H386" s="9"/>
      <c r="I386" s="9"/>
    </row>
    <row r="387" spans="2:9" x14ac:dyDescent="0.25">
      <c r="B387" s="9"/>
      <c r="C387" s="9"/>
      <c r="D387" s="9"/>
      <c r="E387" s="9"/>
      <c r="F387" s="9"/>
      <c r="G387" s="9"/>
      <c r="H387" s="9"/>
      <c r="I387" s="9"/>
    </row>
    <row r="388" spans="2:9" x14ac:dyDescent="0.25">
      <c r="B388" s="9"/>
      <c r="C388" s="9"/>
      <c r="D388" s="9"/>
      <c r="E388" s="9"/>
      <c r="F388" s="9"/>
      <c r="G388" s="9"/>
      <c r="H388" s="9"/>
      <c r="I388" s="9"/>
    </row>
    <row r="389" spans="2:9" x14ac:dyDescent="0.25">
      <c r="B389" s="9"/>
      <c r="C389" s="9"/>
      <c r="D389" s="9"/>
      <c r="E389" s="9"/>
      <c r="F389" s="9"/>
      <c r="G389" s="9"/>
      <c r="H389" s="9"/>
      <c r="I389" s="9"/>
    </row>
    <row r="390" spans="2:9" x14ac:dyDescent="0.25">
      <c r="B390" s="9"/>
      <c r="C390" s="9"/>
      <c r="D390" s="9"/>
      <c r="E390" s="9"/>
      <c r="F390" s="9"/>
      <c r="G390" s="9"/>
      <c r="H390" s="9"/>
      <c r="I390" s="9"/>
    </row>
    <row r="391" spans="2:9" x14ac:dyDescent="0.25">
      <c r="B391" s="9"/>
      <c r="C391" s="9"/>
      <c r="D391" s="9"/>
      <c r="E391" s="9"/>
      <c r="F391" s="9"/>
      <c r="G391" s="9"/>
      <c r="H391" s="9"/>
      <c r="I391" s="9"/>
    </row>
    <row r="392" spans="2:9" x14ac:dyDescent="0.25">
      <c r="B392" s="9"/>
      <c r="C392" s="9"/>
      <c r="D392" s="9"/>
      <c r="E392" s="9"/>
      <c r="F392" s="9"/>
      <c r="G392" s="9"/>
      <c r="H392" s="9"/>
      <c r="I392" s="9"/>
    </row>
    <row r="393" spans="2:9" x14ac:dyDescent="0.25">
      <c r="B393" s="9"/>
      <c r="C393" s="9"/>
      <c r="D393" s="9"/>
      <c r="E393" s="9"/>
      <c r="F393" s="9"/>
      <c r="G393" s="9"/>
      <c r="H393" s="9"/>
      <c r="I393" s="9"/>
    </row>
    <row r="394" spans="2:9" x14ac:dyDescent="0.25">
      <c r="B394" s="9"/>
      <c r="C394" s="9"/>
      <c r="D394" s="9"/>
      <c r="E394" s="9"/>
      <c r="F394" s="9"/>
      <c r="G394" s="9"/>
      <c r="H394" s="9"/>
      <c r="I394" s="9"/>
    </row>
    <row r="395" spans="2:9" x14ac:dyDescent="0.25">
      <c r="B395" s="9"/>
      <c r="C395" s="9"/>
      <c r="D395" s="9"/>
      <c r="E395" s="9"/>
      <c r="F395" s="9"/>
      <c r="G395" s="9"/>
      <c r="H395" s="9"/>
      <c r="I395" s="9"/>
    </row>
    <row r="396" spans="2:9" x14ac:dyDescent="0.25">
      <c r="B396" s="9"/>
      <c r="C396" s="9"/>
      <c r="D396" s="9"/>
      <c r="E396" s="9"/>
      <c r="F396" s="9"/>
      <c r="G396" s="9"/>
      <c r="H396" s="9"/>
      <c r="I396" s="9"/>
    </row>
    <row r="397" spans="2:9" x14ac:dyDescent="0.25">
      <c r="B397" s="9"/>
      <c r="C397" s="9"/>
      <c r="D397" s="9"/>
      <c r="E397" s="9"/>
      <c r="F397" s="9"/>
      <c r="G397" s="9"/>
      <c r="H397" s="9"/>
      <c r="I397" s="9"/>
    </row>
    <row r="398" spans="2:9" x14ac:dyDescent="0.25">
      <c r="B398" s="9"/>
      <c r="C398" s="9"/>
      <c r="D398" s="9"/>
      <c r="E398" s="9"/>
      <c r="F398" s="9"/>
      <c r="G398" s="9"/>
      <c r="H398" s="9"/>
      <c r="I398" s="9"/>
    </row>
    <row r="399" spans="2:9" x14ac:dyDescent="0.25">
      <c r="B399" s="9"/>
      <c r="C399" s="9"/>
      <c r="D399" s="9"/>
      <c r="E399" s="9"/>
      <c r="F399" s="9"/>
      <c r="G399" s="9"/>
      <c r="H399" s="9"/>
      <c r="I399" s="9"/>
    </row>
    <row r="400" spans="2:9" x14ac:dyDescent="0.25">
      <c r="B400" s="9"/>
      <c r="C400" s="9"/>
      <c r="D400" s="9"/>
      <c r="E400" s="9"/>
      <c r="F400" s="9"/>
      <c r="G400" s="9"/>
      <c r="H400" s="9"/>
      <c r="I400" s="9"/>
    </row>
    <row r="401" spans="2:9" x14ac:dyDescent="0.25">
      <c r="B401" s="9"/>
      <c r="C401" s="9"/>
      <c r="D401" s="9"/>
      <c r="E401" s="9"/>
      <c r="F401" s="9"/>
      <c r="G401" s="9"/>
      <c r="H401" s="9"/>
      <c r="I401" s="9"/>
    </row>
    <row r="402" spans="2:9" x14ac:dyDescent="0.25">
      <c r="B402" s="9"/>
      <c r="C402" s="9"/>
      <c r="D402" s="9"/>
      <c r="E402" s="9"/>
      <c r="F402" s="9"/>
      <c r="G402" s="9"/>
      <c r="H402" s="9"/>
      <c r="I402" s="9"/>
    </row>
    <row r="403" spans="2:9" x14ac:dyDescent="0.25">
      <c r="B403" s="9"/>
      <c r="C403" s="9"/>
      <c r="D403" s="9"/>
      <c r="E403" s="9"/>
      <c r="F403" s="9"/>
      <c r="G403" s="9"/>
      <c r="H403" s="9"/>
      <c r="I403" s="9"/>
    </row>
    <row r="404" spans="2:9" x14ac:dyDescent="0.25">
      <c r="B404" s="9"/>
      <c r="C404" s="9"/>
      <c r="D404" s="9"/>
      <c r="E404" s="9"/>
      <c r="F404" s="9"/>
      <c r="G404" s="9"/>
      <c r="H404" s="9"/>
      <c r="I404" s="9"/>
    </row>
    <row r="405" spans="2:9" x14ac:dyDescent="0.25">
      <c r="B405" s="9"/>
      <c r="C405" s="9"/>
      <c r="D405" s="9"/>
      <c r="E405" s="9"/>
      <c r="F405" s="9"/>
      <c r="G405" s="9"/>
      <c r="H405" s="9"/>
      <c r="I405" s="9"/>
    </row>
    <row r="406" spans="2:9" x14ac:dyDescent="0.25">
      <c r="B406" s="9"/>
      <c r="C406" s="9"/>
      <c r="D406" s="9"/>
      <c r="E406" s="9"/>
      <c r="F406" s="9"/>
      <c r="G406" s="9"/>
      <c r="H406" s="9"/>
      <c r="I406" s="9"/>
    </row>
    <row r="407" spans="2:9" x14ac:dyDescent="0.25">
      <c r="B407" s="9"/>
      <c r="C407" s="9"/>
      <c r="D407" s="9"/>
      <c r="E407" s="9"/>
      <c r="F407" s="9"/>
      <c r="G407" s="9"/>
      <c r="H407" s="9"/>
      <c r="I407" s="9"/>
    </row>
    <row r="408" spans="2:9" x14ac:dyDescent="0.25">
      <c r="B408" s="9"/>
      <c r="C408" s="9"/>
      <c r="D408" s="9"/>
      <c r="E408" s="9"/>
      <c r="F408" s="9"/>
      <c r="G408" s="9"/>
      <c r="H408" s="9"/>
      <c r="I408" s="9"/>
    </row>
    <row r="409" spans="2:9" x14ac:dyDescent="0.25">
      <c r="B409" s="9"/>
      <c r="C409" s="9"/>
      <c r="D409" s="9"/>
      <c r="E409" s="9"/>
      <c r="F409" s="9"/>
      <c r="G409" s="9"/>
      <c r="H409" s="9"/>
      <c r="I409" s="9"/>
    </row>
    <row r="410" spans="2:9" x14ac:dyDescent="0.25">
      <c r="B410" s="9"/>
      <c r="C410" s="9"/>
      <c r="D410" s="9"/>
      <c r="E410" s="9"/>
      <c r="F410" s="9"/>
      <c r="G410" s="9"/>
      <c r="H410" s="9"/>
      <c r="I410" s="9"/>
    </row>
    <row r="411" spans="2:9" x14ac:dyDescent="0.25">
      <c r="B411" s="9"/>
      <c r="C411" s="9"/>
      <c r="D411" s="9"/>
      <c r="E411" s="9"/>
      <c r="F411" s="9"/>
      <c r="G411" s="9"/>
      <c r="H411" s="9"/>
      <c r="I411" s="9"/>
    </row>
    <row r="412" spans="2:9" x14ac:dyDescent="0.25">
      <c r="B412" s="9"/>
      <c r="C412" s="9"/>
      <c r="D412" s="9"/>
      <c r="E412" s="9"/>
      <c r="F412" s="9"/>
      <c r="G412" s="9"/>
      <c r="H412" s="9"/>
      <c r="I412" s="9"/>
    </row>
    <row r="413" spans="2:9" x14ac:dyDescent="0.25">
      <c r="B413" s="9"/>
      <c r="C413" s="9"/>
      <c r="D413" s="9"/>
      <c r="E413" s="9"/>
      <c r="F413" s="9"/>
      <c r="G413" s="9"/>
      <c r="H413" s="9"/>
      <c r="I413" s="9"/>
    </row>
    <row r="414" spans="2:9" x14ac:dyDescent="0.25">
      <c r="B414" s="9"/>
      <c r="C414" s="9"/>
      <c r="D414" s="9"/>
      <c r="E414" s="9"/>
      <c r="F414" s="9"/>
      <c r="G414" s="9"/>
      <c r="H414" s="9"/>
      <c r="I414" s="9"/>
    </row>
    <row r="415" spans="2:9" x14ac:dyDescent="0.25">
      <c r="B415" s="9"/>
      <c r="C415" s="9"/>
      <c r="D415" s="9"/>
      <c r="E415" s="9"/>
      <c r="F415" s="9"/>
      <c r="G415" s="9"/>
      <c r="H415" s="9"/>
      <c r="I415" s="9"/>
    </row>
    <row r="416" spans="2:9" x14ac:dyDescent="0.25">
      <c r="B416" s="9"/>
      <c r="C416" s="9"/>
      <c r="D416" s="9"/>
      <c r="E416" s="9"/>
      <c r="F416" s="9"/>
      <c r="G416" s="9"/>
      <c r="H416" s="9"/>
      <c r="I416" s="9"/>
    </row>
    <row r="417" spans="2:9" x14ac:dyDescent="0.25">
      <c r="B417" s="9"/>
      <c r="C417" s="9"/>
      <c r="D417" s="9"/>
      <c r="E417" s="9"/>
      <c r="F417" s="9"/>
      <c r="G417" s="9"/>
      <c r="H417" s="9"/>
      <c r="I417" s="9"/>
    </row>
    <row r="418" spans="2:9" x14ac:dyDescent="0.25">
      <c r="B418" s="9"/>
      <c r="C418" s="9"/>
      <c r="D418" s="9"/>
      <c r="E418" s="9"/>
      <c r="F418" s="9"/>
      <c r="G418" s="9"/>
      <c r="H418" s="9"/>
      <c r="I418" s="9"/>
    </row>
    <row r="419" spans="2:9" x14ac:dyDescent="0.25">
      <c r="B419" s="9"/>
      <c r="C419" s="9"/>
      <c r="D419" s="9"/>
      <c r="E419" s="9"/>
      <c r="F419" s="9"/>
      <c r="G419" s="9"/>
      <c r="H419" s="9"/>
      <c r="I419" s="9"/>
    </row>
    <row r="420" spans="2:9" x14ac:dyDescent="0.25">
      <c r="B420" s="9"/>
      <c r="C420" s="9"/>
      <c r="D420" s="9"/>
      <c r="E420" s="9"/>
      <c r="F420" s="9"/>
      <c r="G420" s="9"/>
      <c r="H420" s="9"/>
      <c r="I420" s="9"/>
    </row>
    <row r="421" spans="2:9" x14ac:dyDescent="0.25">
      <c r="B421" s="9"/>
      <c r="C421" s="9"/>
      <c r="D421" s="9"/>
      <c r="E421" s="9"/>
      <c r="F421" s="9"/>
      <c r="G421" s="9"/>
      <c r="H421" s="9"/>
      <c r="I421" s="9"/>
    </row>
    <row r="422" spans="2:9" x14ac:dyDescent="0.25">
      <c r="B422" s="9"/>
      <c r="C422" s="9"/>
      <c r="D422" s="9"/>
      <c r="E422" s="9"/>
      <c r="F422" s="9"/>
      <c r="G422" s="9"/>
      <c r="H422" s="9"/>
      <c r="I422" s="9"/>
    </row>
    <row r="423" spans="2:9" x14ac:dyDescent="0.25">
      <c r="B423" s="9"/>
      <c r="C423" s="9"/>
      <c r="D423" s="9"/>
      <c r="E423" s="9"/>
      <c r="F423" s="9"/>
      <c r="G423" s="9"/>
      <c r="H423" s="9"/>
      <c r="I423" s="9"/>
    </row>
    <row r="424" spans="2:9" x14ac:dyDescent="0.25">
      <c r="B424" s="9"/>
      <c r="C424" s="9"/>
      <c r="D424" s="9"/>
      <c r="E424" s="9"/>
      <c r="F424" s="9"/>
      <c r="G424" s="9"/>
      <c r="H424" s="9"/>
      <c r="I424" s="9"/>
    </row>
    <row r="425" spans="2:9" x14ac:dyDescent="0.25">
      <c r="B425" s="9"/>
      <c r="C425" s="9"/>
      <c r="D425" s="9"/>
      <c r="E425" s="9"/>
      <c r="F425" s="9"/>
      <c r="G425" s="9"/>
      <c r="H425" s="9"/>
      <c r="I425" s="9"/>
    </row>
    <row r="426" spans="2:9" x14ac:dyDescent="0.25">
      <c r="B426" s="9"/>
      <c r="C426" s="9"/>
      <c r="D426" s="9"/>
      <c r="E426" s="9"/>
      <c r="F426" s="9"/>
      <c r="G426" s="9"/>
      <c r="H426" s="9"/>
      <c r="I426" s="9"/>
    </row>
    <row r="427" spans="2:9" x14ac:dyDescent="0.25">
      <c r="B427" s="9"/>
      <c r="C427" s="9"/>
      <c r="D427" s="9"/>
      <c r="E427" s="9"/>
      <c r="F427" s="9"/>
      <c r="G427" s="9"/>
      <c r="H427" s="9"/>
      <c r="I427" s="9"/>
    </row>
    <row r="428" spans="2:9" x14ac:dyDescent="0.25">
      <c r="B428" s="9"/>
      <c r="C428" s="9"/>
      <c r="D428" s="9"/>
      <c r="E428" s="9"/>
      <c r="F428" s="9"/>
      <c r="G428" s="9"/>
      <c r="H428" s="9"/>
      <c r="I428" s="9"/>
    </row>
    <row r="429" spans="2:9" x14ac:dyDescent="0.25">
      <c r="B429" s="9"/>
      <c r="C429" s="9"/>
      <c r="D429" s="9"/>
      <c r="E429" s="9"/>
      <c r="F429" s="9"/>
      <c r="G429" s="9"/>
      <c r="H429" s="9"/>
      <c r="I429" s="9"/>
    </row>
    <row r="430" spans="2:9" x14ac:dyDescent="0.25">
      <c r="B430" s="9"/>
      <c r="C430" s="9"/>
      <c r="D430" s="9"/>
      <c r="E430" s="9"/>
      <c r="F430" s="9"/>
      <c r="G430" s="9"/>
      <c r="H430" s="9"/>
      <c r="I430" s="9"/>
    </row>
    <row r="431" spans="2:9" x14ac:dyDescent="0.25">
      <c r="B431" s="9"/>
      <c r="C431" s="9"/>
      <c r="D431" s="9"/>
      <c r="E431" s="9"/>
      <c r="F431" s="9"/>
      <c r="G431" s="9"/>
      <c r="H431" s="9"/>
      <c r="I431" s="9"/>
    </row>
    <row r="432" spans="2:9" x14ac:dyDescent="0.25">
      <c r="B432" s="9"/>
      <c r="C432" s="9"/>
      <c r="D432" s="9"/>
      <c r="E432" s="9"/>
      <c r="F432" s="9"/>
      <c r="G432" s="9"/>
      <c r="H432" s="9"/>
      <c r="I432" s="9"/>
    </row>
    <row r="433" spans="2:9" x14ac:dyDescent="0.25">
      <c r="B433" s="9"/>
      <c r="C433" s="9"/>
      <c r="D433" s="9"/>
      <c r="E433" s="9"/>
      <c r="F433" s="9"/>
      <c r="G433" s="9"/>
      <c r="H433" s="9"/>
      <c r="I433" s="9"/>
    </row>
    <row r="434" spans="2:9" x14ac:dyDescent="0.25">
      <c r="B434" s="9"/>
      <c r="C434" s="9"/>
      <c r="D434" s="9"/>
      <c r="E434" s="9"/>
      <c r="F434" s="9"/>
      <c r="G434" s="9"/>
      <c r="H434" s="9"/>
      <c r="I434" s="9"/>
    </row>
    <row r="435" spans="2:9" x14ac:dyDescent="0.25">
      <c r="B435" s="9"/>
      <c r="C435" s="9"/>
      <c r="D435" s="9"/>
      <c r="E435" s="9"/>
      <c r="F435" s="9"/>
      <c r="G435" s="9"/>
      <c r="H435" s="9"/>
      <c r="I435" s="9"/>
    </row>
    <row r="436" spans="2:9" x14ac:dyDescent="0.25">
      <c r="B436" s="9"/>
      <c r="C436" s="9"/>
      <c r="D436" s="9"/>
      <c r="E436" s="9"/>
      <c r="F436" s="9"/>
      <c r="G436" s="9"/>
      <c r="H436" s="9"/>
      <c r="I436" s="9"/>
    </row>
    <row r="437" spans="2:9" x14ac:dyDescent="0.25">
      <c r="B437" s="9"/>
      <c r="C437" s="9"/>
      <c r="D437" s="9"/>
      <c r="E437" s="9"/>
      <c r="F437" s="9"/>
      <c r="G437" s="9"/>
      <c r="H437" s="9"/>
      <c r="I437" s="9"/>
    </row>
    <row r="438" spans="2:9" x14ac:dyDescent="0.25">
      <c r="B438" s="9"/>
      <c r="C438" s="9"/>
      <c r="D438" s="9"/>
      <c r="E438" s="9"/>
      <c r="F438" s="9"/>
      <c r="G438" s="9"/>
      <c r="H438" s="9"/>
      <c r="I438" s="9"/>
    </row>
    <row r="439" spans="2:9" x14ac:dyDescent="0.25">
      <c r="B439" s="9"/>
      <c r="C439" s="9"/>
      <c r="D439" s="9"/>
      <c r="E439" s="9"/>
      <c r="F439" s="9"/>
      <c r="G439" s="9"/>
      <c r="H439" s="9"/>
      <c r="I439" s="9"/>
    </row>
    <row r="440" spans="2:9" x14ac:dyDescent="0.25">
      <c r="B440" s="9"/>
      <c r="C440" s="9"/>
      <c r="D440" s="9"/>
      <c r="E440" s="9"/>
      <c r="F440" s="9"/>
      <c r="G440" s="9"/>
      <c r="H440" s="9"/>
      <c r="I440" s="9"/>
    </row>
    <row r="441" spans="2:9" x14ac:dyDescent="0.25">
      <c r="B441" s="9"/>
      <c r="C441" s="9"/>
      <c r="D441" s="9"/>
      <c r="E441" s="9"/>
      <c r="F441" s="9"/>
      <c r="G441" s="9"/>
      <c r="H441" s="9"/>
      <c r="I441" s="9"/>
    </row>
    <row r="442" spans="2:9" x14ac:dyDescent="0.25">
      <c r="B442" s="9"/>
      <c r="C442" s="9"/>
      <c r="D442" s="9"/>
      <c r="E442" s="9"/>
      <c r="F442" s="9"/>
      <c r="G442" s="9"/>
      <c r="H442" s="9"/>
      <c r="I442" s="9"/>
    </row>
    <row r="443" spans="2:9" x14ac:dyDescent="0.25">
      <c r="B443" s="9"/>
      <c r="C443" s="9"/>
      <c r="D443" s="9"/>
      <c r="E443" s="9"/>
      <c r="F443" s="9"/>
      <c r="G443" s="9"/>
      <c r="H443" s="9"/>
      <c r="I443" s="9"/>
    </row>
    <row r="444" spans="2:9" x14ac:dyDescent="0.25">
      <c r="B444" s="9"/>
      <c r="C444" s="9"/>
      <c r="D444" s="9"/>
      <c r="E444" s="9"/>
      <c r="F444" s="9"/>
      <c r="G444" s="9"/>
      <c r="H444" s="9"/>
      <c r="I444" s="9"/>
    </row>
    <row r="445" spans="2:9" x14ac:dyDescent="0.25">
      <c r="B445" s="9"/>
      <c r="C445" s="9"/>
      <c r="D445" s="9"/>
      <c r="E445" s="9"/>
      <c r="F445" s="9"/>
      <c r="G445" s="9"/>
      <c r="H445" s="9"/>
      <c r="I445" s="9"/>
    </row>
    <row r="446" spans="2:9" x14ac:dyDescent="0.25">
      <c r="B446" s="9"/>
      <c r="C446" s="9"/>
      <c r="D446" s="9"/>
      <c r="E446" s="9"/>
      <c r="F446" s="9"/>
      <c r="G446" s="9"/>
      <c r="H446" s="9"/>
      <c r="I446" s="9"/>
    </row>
    <row r="447" spans="2:9" x14ac:dyDescent="0.25">
      <c r="B447" s="9"/>
      <c r="C447" s="9"/>
      <c r="D447" s="9"/>
      <c r="E447" s="9"/>
      <c r="F447" s="9"/>
      <c r="G447" s="9"/>
      <c r="H447" s="9"/>
      <c r="I447" s="9"/>
    </row>
    <row r="448" spans="2:9" x14ac:dyDescent="0.25">
      <c r="B448" s="9"/>
      <c r="C448" s="9"/>
      <c r="D448" s="9"/>
      <c r="E448" s="9"/>
      <c r="F448" s="9"/>
      <c r="G448" s="9"/>
      <c r="H448" s="9"/>
      <c r="I448" s="9"/>
    </row>
    <row r="449" spans="2:9" x14ac:dyDescent="0.25">
      <c r="B449" s="9"/>
      <c r="C449" s="9"/>
      <c r="D449" s="9"/>
      <c r="E449" s="9"/>
      <c r="F449" s="9"/>
      <c r="G449" s="9"/>
      <c r="H449" s="9"/>
      <c r="I449" s="9"/>
    </row>
    <row r="450" spans="2:9" x14ac:dyDescent="0.25">
      <c r="B450" s="9"/>
      <c r="C450" s="9"/>
      <c r="D450" s="9"/>
      <c r="E450" s="9"/>
      <c r="F450" s="9"/>
      <c r="G450" s="9"/>
      <c r="H450" s="9"/>
      <c r="I450" s="9"/>
    </row>
    <row r="451" spans="2:9" x14ac:dyDescent="0.25">
      <c r="B451" s="9"/>
      <c r="C451" s="9"/>
      <c r="D451" s="9"/>
      <c r="E451" s="9"/>
      <c r="F451" s="9"/>
      <c r="G451" s="9"/>
      <c r="H451" s="9"/>
      <c r="I451" s="9"/>
    </row>
    <row r="452" spans="2:9" x14ac:dyDescent="0.25">
      <c r="B452" s="9"/>
      <c r="C452" s="9"/>
      <c r="D452" s="9"/>
      <c r="E452" s="9"/>
      <c r="F452" s="9"/>
      <c r="G452" s="9"/>
      <c r="H452" s="9"/>
      <c r="I452" s="9"/>
    </row>
    <row r="453" spans="2:9" x14ac:dyDescent="0.25">
      <c r="B453" s="9"/>
      <c r="C453" s="9"/>
      <c r="D453" s="9"/>
      <c r="E453" s="9"/>
      <c r="F453" s="9"/>
      <c r="G453" s="9"/>
      <c r="H453" s="9"/>
      <c r="I453" s="9"/>
    </row>
    <row r="454" spans="2:9" x14ac:dyDescent="0.25">
      <c r="B454" s="9"/>
      <c r="C454" s="9"/>
      <c r="D454" s="9"/>
      <c r="E454" s="9"/>
      <c r="F454" s="9"/>
      <c r="G454" s="9"/>
      <c r="H454" s="9"/>
      <c r="I454" s="9"/>
    </row>
    <row r="455" spans="2:9" x14ac:dyDescent="0.25">
      <c r="B455" s="9"/>
      <c r="C455" s="9"/>
      <c r="D455" s="9"/>
      <c r="E455" s="9"/>
      <c r="F455" s="9"/>
      <c r="G455" s="9"/>
      <c r="H455" s="9"/>
      <c r="I455" s="9"/>
    </row>
    <row r="456" spans="2:9" x14ac:dyDescent="0.25">
      <c r="B456" s="9"/>
      <c r="C456" s="9"/>
      <c r="D456" s="9"/>
      <c r="E456" s="9"/>
      <c r="F456" s="9"/>
      <c r="G456" s="9"/>
      <c r="H456" s="9"/>
      <c r="I456" s="9"/>
    </row>
    <row r="457" spans="2:9" x14ac:dyDescent="0.25">
      <c r="B457" s="9"/>
      <c r="C457" s="9"/>
      <c r="D457" s="9"/>
      <c r="E457" s="9"/>
      <c r="F457" s="9"/>
      <c r="G457" s="9"/>
      <c r="H457" s="9"/>
      <c r="I457" s="9"/>
    </row>
    <row r="458" spans="2:9" x14ac:dyDescent="0.25">
      <c r="B458" s="9"/>
      <c r="C458" s="9"/>
      <c r="D458" s="9"/>
      <c r="E458" s="9"/>
      <c r="F458" s="9"/>
      <c r="G458" s="9"/>
      <c r="H458" s="9"/>
      <c r="I458" s="9"/>
    </row>
    <row r="459" spans="2:9" x14ac:dyDescent="0.25">
      <c r="B459" s="9"/>
      <c r="C459" s="9"/>
      <c r="D459" s="9"/>
      <c r="E459" s="9"/>
      <c r="F459" s="9"/>
      <c r="G459" s="9"/>
      <c r="H459" s="9"/>
      <c r="I459" s="9"/>
    </row>
    <row r="460" spans="2:9" x14ac:dyDescent="0.25">
      <c r="B460" s="9"/>
      <c r="C460" s="9"/>
      <c r="D460" s="9"/>
      <c r="E460" s="9"/>
      <c r="F460" s="9"/>
      <c r="G460" s="9"/>
      <c r="H460" s="9"/>
      <c r="I460" s="9"/>
    </row>
    <row r="461" spans="2:9" x14ac:dyDescent="0.25">
      <c r="B461" s="9"/>
      <c r="C461" s="9"/>
      <c r="D461" s="9"/>
      <c r="E461" s="9"/>
      <c r="F461" s="9"/>
      <c r="G461" s="9"/>
      <c r="H461" s="9"/>
      <c r="I461" s="9"/>
    </row>
    <row r="462" spans="2:9" x14ac:dyDescent="0.25">
      <c r="B462" s="9"/>
      <c r="C462" s="9"/>
      <c r="D462" s="9"/>
      <c r="E462" s="9"/>
      <c r="F462" s="9"/>
      <c r="G462" s="9"/>
      <c r="H462" s="9"/>
      <c r="I462" s="9"/>
    </row>
    <row r="463" spans="2:9" x14ac:dyDescent="0.25">
      <c r="B463" s="9"/>
      <c r="C463" s="9"/>
      <c r="D463" s="9"/>
      <c r="E463" s="9"/>
      <c r="F463" s="9"/>
      <c r="G463" s="9"/>
      <c r="H463" s="9"/>
      <c r="I463" s="9"/>
    </row>
    <row r="464" spans="2:9" x14ac:dyDescent="0.25">
      <c r="B464" s="9"/>
      <c r="C464" s="9"/>
      <c r="D464" s="9"/>
      <c r="E464" s="9"/>
      <c r="F464" s="9"/>
      <c r="G464" s="9"/>
      <c r="H464" s="9"/>
      <c r="I464" s="9"/>
    </row>
    <row r="465" spans="2:9" x14ac:dyDescent="0.25">
      <c r="B465" s="9"/>
      <c r="C465" s="9"/>
      <c r="D465" s="9"/>
      <c r="E465" s="9"/>
      <c r="F465" s="9"/>
      <c r="G465" s="9"/>
      <c r="H465" s="9"/>
      <c r="I465" s="9"/>
    </row>
    <row r="466" spans="2:9" x14ac:dyDescent="0.25">
      <c r="B466" s="9"/>
      <c r="C466" s="9"/>
      <c r="D466" s="9"/>
      <c r="E466" s="9"/>
      <c r="F466" s="9"/>
      <c r="G466" s="9"/>
      <c r="H466" s="9"/>
      <c r="I466" s="9"/>
    </row>
    <row r="467" spans="2:9" x14ac:dyDescent="0.25">
      <c r="B467" s="9"/>
      <c r="C467" s="9"/>
      <c r="D467" s="9"/>
      <c r="E467" s="9"/>
      <c r="F467" s="9"/>
      <c r="G467" s="9"/>
      <c r="H467" s="9"/>
      <c r="I467" s="9"/>
    </row>
    <row r="468" spans="2:9" x14ac:dyDescent="0.25">
      <c r="B468" s="9"/>
      <c r="C468" s="9"/>
      <c r="D468" s="9"/>
      <c r="E468" s="9"/>
      <c r="F468" s="9"/>
      <c r="G468" s="9"/>
      <c r="H468" s="9"/>
      <c r="I468" s="9"/>
    </row>
    <row r="469" spans="2:9" x14ac:dyDescent="0.25">
      <c r="B469" s="9"/>
      <c r="C469" s="9"/>
      <c r="D469" s="9"/>
      <c r="E469" s="9"/>
      <c r="F469" s="9"/>
      <c r="G469" s="9"/>
      <c r="H469" s="9"/>
      <c r="I469" s="9"/>
    </row>
    <row r="470" spans="2:9" x14ac:dyDescent="0.25">
      <c r="B470" s="9"/>
      <c r="C470" s="9"/>
      <c r="D470" s="9"/>
      <c r="E470" s="9"/>
      <c r="F470" s="9"/>
      <c r="G470" s="9"/>
      <c r="H470" s="9"/>
      <c r="I470" s="9"/>
    </row>
    <row r="471" spans="2:9" x14ac:dyDescent="0.25">
      <c r="B471" s="9"/>
      <c r="C471" s="9"/>
      <c r="D471" s="9"/>
      <c r="E471" s="9"/>
      <c r="F471" s="9"/>
      <c r="G471" s="9"/>
      <c r="H471" s="9"/>
      <c r="I471" s="9"/>
    </row>
    <row r="472" spans="2:9" x14ac:dyDescent="0.25">
      <c r="B472" s="9"/>
      <c r="C472" s="9"/>
      <c r="D472" s="9"/>
      <c r="E472" s="9"/>
      <c r="F472" s="9"/>
      <c r="G472" s="9"/>
      <c r="H472" s="9"/>
      <c r="I472" s="9"/>
    </row>
    <row r="473" spans="2:9" x14ac:dyDescent="0.25">
      <c r="B473" s="9"/>
      <c r="C473" s="9"/>
      <c r="D473" s="9"/>
      <c r="E473" s="9"/>
      <c r="F473" s="9"/>
      <c r="G473" s="9"/>
      <c r="H473" s="9"/>
      <c r="I473" s="9"/>
    </row>
    <row r="474" spans="2:9" x14ac:dyDescent="0.25">
      <c r="B474" s="9"/>
      <c r="C474" s="9"/>
      <c r="D474" s="9"/>
      <c r="E474" s="9"/>
      <c r="F474" s="9"/>
      <c r="G474" s="9"/>
      <c r="H474" s="9"/>
      <c r="I474" s="9"/>
    </row>
    <row r="475" spans="2:9" x14ac:dyDescent="0.25">
      <c r="B475" s="9"/>
      <c r="C475" s="9"/>
      <c r="D475" s="9"/>
      <c r="E475" s="9"/>
      <c r="F475" s="9"/>
      <c r="G475" s="9"/>
      <c r="H475" s="9"/>
      <c r="I475" s="9"/>
    </row>
    <row r="476" spans="2:9" x14ac:dyDescent="0.25">
      <c r="B476" s="9"/>
      <c r="C476" s="9"/>
      <c r="D476" s="9"/>
      <c r="E476" s="9"/>
      <c r="F476" s="9"/>
      <c r="G476" s="9"/>
      <c r="H476" s="9"/>
      <c r="I476" s="9"/>
    </row>
    <row r="477" spans="2:9" x14ac:dyDescent="0.25">
      <c r="B477" s="9"/>
      <c r="C477" s="9"/>
      <c r="D477" s="9"/>
      <c r="E477" s="9"/>
      <c r="F477" s="9"/>
      <c r="G477" s="9"/>
      <c r="H477" s="9"/>
      <c r="I477" s="9"/>
    </row>
    <row r="478" spans="2:9" x14ac:dyDescent="0.25">
      <c r="B478" s="9"/>
      <c r="C478" s="9"/>
      <c r="D478" s="9"/>
      <c r="E478" s="9"/>
      <c r="F478" s="9"/>
      <c r="G478" s="9"/>
      <c r="H478" s="9"/>
      <c r="I478" s="9"/>
    </row>
    <row r="479" spans="2:9" x14ac:dyDescent="0.25">
      <c r="B479" s="9"/>
      <c r="C479" s="9"/>
      <c r="D479" s="9"/>
      <c r="E479" s="9"/>
      <c r="F479" s="9"/>
      <c r="G479" s="9"/>
      <c r="H479" s="9"/>
      <c r="I479" s="9"/>
    </row>
    <row r="480" spans="2:9" x14ac:dyDescent="0.25">
      <c r="B480" s="9"/>
      <c r="C480" s="9"/>
      <c r="D480" s="9"/>
      <c r="E480" s="9"/>
      <c r="F480" s="9"/>
      <c r="G480" s="9"/>
      <c r="H480" s="9"/>
      <c r="I480" s="9"/>
    </row>
    <row r="481" spans="2:9" x14ac:dyDescent="0.25">
      <c r="B481" s="9"/>
      <c r="C481" s="9"/>
      <c r="D481" s="9"/>
      <c r="E481" s="9"/>
      <c r="F481" s="9"/>
      <c r="G481" s="9"/>
      <c r="H481" s="9"/>
      <c r="I481" s="9"/>
    </row>
    <row r="482" spans="2:9" x14ac:dyDescent="0.25">
      <c r="B482" s="9"/>
      <c r="C482" s="9"/>
      <c r="D482" s="9"/>
      <c r="E482" s="9"/>
      <c r="F482" s="9"/>
      <c r="G482" s="9"/>
      <c r="H482" s="9"/>
      <c r="I482" s="9"/>
    </row>
    <row r="483" spans="2:9" x14ac:dyDescent="0.25">
      <c r="B483" s="9"/>
      <c r="C483" s="9"/>
      <c r="D483" s="9"/>
      <c r="E483" s="9"/>
      <c r="F483" s="9"/>
      <c r="G483" s="9"/>
      <c r="H483" s="9"/>
      <c r="I483" s="9"/>
    </row>
    <row r="484" spans="2:9" x14ac:dyDescent="0.25">
      <c r="B484" s="9"/>
      <c r="C484" s="9"/>
      <c r="D484" s="9"/>
      <c r="E484" s="9"/>
      <c r="F484" s="9"/>
      <c r="G484" s="9"/>
      <c r="H484" s="9"/>
      <c r="I484" s="9"/>
    </row>
    <row r="485" spans="2:9" x14ac:dyDescent="0.25">
      <c r="B485" s="9"/>
      <c r="C485" s="9"/>
      <c r="D485" s="9"/>
      <c r="E485" s="9"/>
      <c r="F485" s="9"/>
      <c r="G485" s="9"/>
      <c r="H485" s="9"/>
      <c r="I485" s="9"/>
    </row>
    <row r="486" spans="2:9" x14ac:dyDescent="0.25">
      <c r="B486" s="9"/>
      <c r="C486" s="9"/>
      <c r="D486" s="9"/>
      <c r="E486" s="9"/>
      <c r="F486" s="9"/>
      <c r="G486" s="9"/>
      <c r="H486" s="9"/>
      <c r="I486" s="9"/>
    </row>
    <row r="487" spans="2:9" x14ac:dyDescent="0.25">
      <c r="B487" s="9"/>
      <c r="C487" s="9"/>
      <c r="D487" s="9"/>
      <c r="E487" s="9"/>
      <c r="F487" s="9"/>
      <c r="G487" s="9"/>
      <c r="H487" s="9"/>
      <c r="I487" s="9"/>
    </row>
    <row r="488" spans="2:9" x14ac:dyDescent="0.25">
      <c r="B488" s="9"/>
      <c r="C488" s="9"/>
      <c r="D488" s="9"/>
      <c r="E488" s="9"/>
      <c r="F488" s="9"/>
      <c r="G488" s="9"/>
      <c r="H488" s="9"/>
      <c r="I488" s="9"/>
    </row>
    <row r="489" spans="2:9" x14ac:dyDescent="0.25">
      <c r="B489" s="9"/>
      <c r="C489" s="9"/>
      <c r="D489" s="9"/>
      <c r="E489" s="9"/>
      <c r="F489" s="9"/>
      <c r="G489" s="9"/>
      <c r="H489" s="9"/>
      <c r="I489" s="9"/>
    </row>
    <row r="490" spans="2:9" x14ac:dyDescent="0.25">
      <c r="B490" s="9"/>
      <c r="C490" s="9"/>
      <c r="D490" s="9"/>
      <c r="E490" s="9"/>
      <c r="F490" s="9"/>
      <c r="G490" s="9"/>
      <c r="H490" s="9"/>
      <c r="I490" s="9"/>
    </row>
    <row r="491" spans="2:9" x14ac:dyDescent="0.25">
      <c r="B491" s="9"/>
      <c r="C491" s="9"/>
      <c r="D491" s="9"/>
      <c r="E491" s="9"/>
      <c r="F491" s="9"/>
      <c r="G491" s="9"/>
      <c r="H491" s="9"/>
      <c r="I491" s="9"/>
    </row>
    <row r="492" spans="2:9" x14ac:dyDescent="0.25">
      <c r="B492" s="9"/>
      <c r="C492" s="9"/>
      <c r="D492" s="9"/>
      <c r="E492" s="9"/>
      <c r="F492" s="9"/>
      <c r="G492" s="9"/>
      <c r="H492" s="9"/>
      <c r="I492" s="9"/>
    </row>
    <row r="493" spans="2:9" x14ac:dyDescent="0.25">
      <c r="B493" s="9"/>
      <c r="C493" s="9"/>
      <c r="D493" s="9"/>
      <c r="E493" s="9"/>
      <c r="F493" s="9"/>
      <c r="G493" s="9"/>
      <c r="H493" s="9"/>
      <c r="I493" s="9"/>
    </row>
    <row r="494" spans="2:9" x14ac:dyDescent="0.25">
      <c r="B494" s="9"/>
      <c r="C494" s="9"/>
      <c r="D494" s="9"/>
      <c r="E494" s="9"/>
      <c r="F494" s="9"/>
      <c r="G494" s="9"/>
      <c r="H494" s="9"/>
      <c r="I494" s="9"/>
    </row>
    <row r="495" spans="2:9" x14ac:dyDescent="0.25">
      <c r="B495" s="9"/>
      <c r="C495" s="9"/>
      <c r="D495" s="9"/>
      <c r="E495" s="9"/>
      <c r="F495" s="9"/>
      <c r="G495" s="9"/>
      <c r="H495" s="9"/>
      <c r="I495" s="9"/>
    </row>
    <row r="496" spans="2:9" x14ac:dyDescent="0.25">
      <c r="B496" s="9"/>
      <c r="C496" s="9"/>
      <c r="D496" s="9"/>
      <c r="E496" s="9"/>
      <c r="F496" s="9"/>
      <c r="G496" s="9"/>
      <c r="H496" s="9"/>
      <c r="I496" s="9"/>
    </row>
    <row r="497" spans="2:9" x14ac:dyDescent="0.25">
      <c r="B497" s="9"/>
      <c r="C497" s="9"/>
      <c r="D497" s="9"/>
      <c r="E497" s="9"/>
      <c r="F497" s="9"/>
      <c r="G497" s="9"/>
      <c r="H497" s="9"/>
      <c r="I497" s="9"/>
    </row>
    <row r="498" spans="2:9" x14ac:dyDescent="0.25">
      <c r="B498" s="9"/>
      <c r="C498" s="9"/>
      <c r="D498" s="9"/>
      <c r="E498" s="9"/>
      <c r="F498" s="9"/>
      <c r="G498" s="9"/>
      <c r="H498" s="9"/>
      <c r="I498" s="9"/>
    </row>
    <row r="499" spans="2:9" x14ac:dyDescent="0.25">
      <c r="B499" s="9"/>
      <c r="C499" s="9"/>
      <c r="D499" s="9"/>
      <c r="E499" s="9"/>
      <c r="F499" s="9"/>
      <c r="G499" s="9"/>
      <c r="H499" s="9"/>
      <c r="I499" s="9"/>
    </row>
    <row r="500" spans="2:9" x14ac:dyDescent="0.25">
      <c r="B500" s="9"/>
      <c r="C500" s="9"/>
      <c r="D500" s="9"/>
      <c r="E500" s="9"/>
      <c r="F500" s="9"/>
      <c r="G500" s="9"/>
      <c r="H500" s="9"/>
      <c r="I500" s="9"/>
    </row>
    <row r="501" spans="2:9" x14ac:dyDescent="0.25">
      <c r="B501" s="9"/>
      <c r="C501" s="9"/>
      <c r="D501" s="9"/>
      <c r="E501" s="9"/>
      <c r="F501" s="9"/>
      <c r="G501" s="9"/>
      <c r="H501" s="9"/>
      <c r="I501" s="9"/>
    </row>
    <row r="502" spans="2:9" x14ac:dyDescent="0.25">
      <c r="B502" s="9"/>
      <c r="C502" s="9"/>
      <c r="D502" s="9"/>
      <c r="E502" s="9"/>
      <c r="F502" s="9"/>
      <c r="G502" s="9"/>
      <c r="H502" s="9"/>
      <c r="I502" s="9"/>
    </row>
    <row r="503" spans="2:9" x14ac:dyDescent="0.25">
      <c r="B503" s="9"/>
      <c r="C503" s="9"/>
      <c r="D503" s="9"/>
      <c r="E503" s="9"/>
      <c r="F503" s="9"/>
      <c r="G503" s="9"/>
      <c r="H503" s="9"/>
      <c r="I503" s="9"/>
    </row>
    <row r="504" spans="2:9" x14ac:dyDescent="0.25">
      <c r="B504" s="9"/>
      <c r="C504" s="9"/>
      <c r="D504" s="9"/>
      <c r="E504" s="9"/>
      <c r="F504" s="9"/>
      <c r="G504" s="9"/>
      <c r="H504" s="9"/>
      <c r="I504" s="9"/>
    </row>
    <row r="505" spans="2:9" x14ac:dyDescent="0.25">
      <c r="B505" s="9"/>
      <c r="C505" s="9"/>
      <c r="D505" s="9"/>
      <c r="E505" s="9"/>
      <c r="F505" s="9"/>
      <c r="G505" s="9"/>
      <c r="H505" s="9"/>
      <c r="I505" s="9"/>
    </row>
    <row r="506" spans="2:9" x14ac:dyDescent="0.25">
      <c r="B506" s="9"/>
      <c r="C506" s="9"/>
      <c r="D506" s="9"/>
      <c r="E506" s="9"/>
      <c r="F506" s="9"/>
      <c r="G506" s="9"/>
      <c r="H506" s="9"/>
      <c r="I506" s="9"/>
    </row>
    <row r="507" spans="2:9" x14ac:dyDescent="0.25">
      <c r="B507" s="9"/>
      <c r="C507" s="9"/>
      <c r="D507" s="9"/>
      <c r="E507" s="9"/>
      <c r="F507" s="9"/>
      <c r="G507" s="9"/>
      <c r="H507" s="9"/>
      <c r="I507" s="9"/>
    </row>
    <row r="508" spans="2:9" x14ac:dyDescent="0.25">
      <c r="B508" s="9"/>
      <c r="C508" s="9"/>
      <c r="D508" s="9"/>
      <c r="E508" s="9"/>
      <c r="F508" s="9"/>
      <c r="G508" s="9"/>
      <c r="H508" s="9"/>
      <c r="I508" s="9"/>
    </row>
    <row r="509" spans="2:9" x14ac:dyDescent="0.25">
      <c r="B509" s="9"/>
      <c r="C509" s="9"/>
      <c r="D509" s="9"/>
      <c r="E509" s="9"/>
      <c r="F509" s="9"/>
      <c r="G509" s="9"/>
      <c r="H509" s="9"/>
      <c r="I509" s="9"/>
    </row>
    <row r="510" spans="2:9" x14ac:dyDescent="0.25">
      <c r="B510" s="9"/>
      <c r="C510" s="9"/>
      <c r="D510" s="9"/>
      <c r="E510" s="9"/>
      <c r="F510" s="9"/>
      <c r="G510" s="9"/>
      <c r="H510" s="9"/>
      <c r="I510" s="9"/>
    </row>
    <row r="511" spans="2:9" x14ac:dyDescent="0.25">
      <c r="B511" s="9"/>
      <c r="C511" s="9"/>
      <c r="D511" s="9"/>
      <c r="E511" s="9"/>
      <c r="F511" s="9"/>
      <c r="G511" s="9"/>
      <c r="H511" s="9"/>
      <c r="I511" s="9"/>
    </row>
    <row r="512" spans="2:9" x14ac:dyDescent="0.25">
      <c r="B512" s="9"/>
      <c r="C512" s="9"/>
      <c r="D512" s="9"/>
      <c r="E512" s="9"/>
      <c r="F512" s="9"/>
      <c r="G512" s="9"/>
      <c r="H512" s="9"/>
      <c r="I512" s="9"/>
    </row>
    <row r="513" spans="2:9" x14ac:dyDescent="0.25">
      <c r="B513" s="9"/>
      <c r="C513" s="9"/>
      <c r="D513" s="9"/>
      <c r="E513" s="9"/>
      <c r="F513" s="9"/>
      <c r="G513" s="9"/>
      <c r="H513" s="9"/>
      <c r="I513" s="9"/>
    </row>
    <row r="514" spans="2:9" x14ac:dyDescent="0.25">
      <c r="B514" s="9"/>
      <c r="C514" s="9"/>
      <c r="D514" s="9"/>
      <c r="E514" s="9"/>
      <c r="F514" s="9"/>
      <c r="G514" s="9"/>
      <c r="H514" s="9"/>
      <c r="I514" s="9"/>
    </row>
    <row r="515" spans="2:9" x14ac:dyDescent="0.25">
      <c r="B515" s="9"/>
      <c r="C515" s="9"/>
      <c r="D515" s="9"/>
      <c r="E515" s="9"/>
      <c r="F515" s="9"/>
      <c r="G515" s="9"/>
      <c r="H515" s="9"/>
      <c r="I515" s="9"/>
    </row>
    <row r="516" spans="2:9" x14ac:dyDescent="0.25">
      <c r="B516" s="9"/>
      <c r="C516" s="9"/>
      <c r="D516" s="9"/>
      <c r="E516" s="9"/>
      <c r="F516" s="9"/>
      <c r="G516" s="9"/>
      <c r="H516" s="9"/>
      <c r="I516" s="9"/>
    </row>
    <row r="517" spans="2:9" x14ac:dyDescent="0.25">
      <c r="B517" s="9"/>
      <c r="C517" s="9"/>
      <c r="D517" s="9"/>
      <c r="E517" s="9"/>
      <c r="F517" s="9"/>
      <c r="G517" s="9"/>
      <c r="H517" s="9"/>
      <c r="I517" s="9"/>
    </row>
    <row r="518" spans="2:9" x14ac:dyDescent="0.25">
      <c r="B518" s="9"/>
      <c r="C518" s="9"/>
      <c r="D518" s="9"/>
      <c r="E518" s="9"/>
      <c r="F518" s="9"/>
      <c r="G518" s="9"/>
      <c r="H518" s="9"/>
      <c r="I518" s="9"/>
    </row>
    <row r="519" spans="2:9" x14ac:dyDescent="0.25">
      <c r="B519" s="9"/>
      <c r="C519" s="9"/>
      <c r="D519" s="9"/>
      <c r="E519" s="9"/>
      <c r="F519" s="9"/>
      <c r="G519" s="9"/>
      <c r="H519" s="9"/>
      <c r="I519" s="9"/>
    </row>
    <row r="520" spans="2:9" x14ac:dyDescent="0.25">
      <c r="B520" s="9"/>
      <c r="C520" s="9"/>
      <c r="D520" s="9"/>
      <c r="E520" s="9"/>
      <c r="F520" s="9"/>
      <c r="G520" s="9"/>
      <c r="H520" s="9"/>
      <c r="I520" s="9"/>
    </row>
    <row r="521" spans="2:9" x14ac:dyDescent="0.25">
      <c r="B521" s="9"/>
      <c r="C521" s="9"/>
      <c r="D521" s="9"/>
      <c r="E521" s="9"/>
      <c r="F521" s="9"/>
      <c r="G521" s="9"/>
      <c r="H521" s="9"/>
      <c r="I521" s="9"/>
    </row>
    <row r="522" spans="2:9" x14ac:dyDescent="0.25">
      <c r="B522" s="9"/>
      <c r="C522" s="9"/>
      <c r="D522" s="9"/>
      <c r="E522" s="9"/>
      <c r="F522" s="9"/>
      <c r="G522" s="9"/>
      <c r="H522" s="9"/>
      <c r="I522" s="9"/>
    </row>
    <row r="523" spans="2:9" x14ac:dyDescent="0.25">
      <c r="B523" s="9"/>
      <c r="C523" s="9"/>
      <c r="D523" s="9"/>
      <c r="E523" s="9"/>
      <c r="F523" s="9"/>
      <c r="G523" s="9"/>
      <c r="H523" s="9"/>
      <c r="I523" s="9"/>
    </row>
    <row r="524" spans="2:9" x14ac:dyDescent="0.25">
      <c r="B524" s="9"/>
      <c r="C524" s="9"/>
      <c r="D524" s="9"/>
      <c r="E524" s="9"/>
      <c r="F524" s="9"/>
      <c r="G524" s="9"/>
      <c r="H524" s="9"/>
      <c r="I524" s="9"/>
    </row>
    <row r="525" spans="2:9" x14ac:dyDescent="0.25">
      <c r="B525" s="9"/>
      <c r="C525" s="9"/>
      <c r="D525" s="9"/>
      <c r="E525" s="9"/>
      <c r="F525" s="9"/>
      <c r="G525" s="9"/>
      <c r="H525" s="9"/>
      <c r="I525" s="9"/>
    </row>
    <row r="526" spans="2:9" x14ac:dyDescent="0.25">
      <c r="B526" s="9"/>
      <c r="C526" s="9"/>
      <c r="D526" s="9"/>
      <c r="E526" s="9"/>
      <c r="F526" s="9"/>
      <c r="G526" s="9"/>
      <c r="H526" s="9"/>
      <c r="I526" s="9"/>
    </row>
    <row r="527" spans="2:9" x14ac:dyDescent="0.25">
      <c r="B527" s="9"/>
      <c r="C527" s="9"/>
      <c r="D527" s="9"/>
      <c r="E527" s="9"/>
      <c r="F527" s="9"/>
      <c r="G527" s="9"/>
      <c r="H527" s="9"/>
      <c r="I527" s="9"/>
    </row>
    <row r="528" spans="2:9" x14ac:dyDescent="0.25">
      <c r="B528" s="9"/>
      <c r="C528" s="9"/>
      <c r="D528" s="9"/>
      <c r="E528" s="9"/>
      <c r="F528" s="9"/>
      <c r="G528" s="9"/>
      <c r="H528" s="9"/>
      <c r="I528" s="9"/>
    </row>
    <row r="529" spans="2:9" x14ac:dyDescent="0.25">
      <c r="B529" s="9"/>
      <c r="C529" s="9"/>
      <c r="D529" s="9"/>
      <c r="E529" s="9"/>
      <c r="F529" s="9"/>
      <c r="G529" s="9"/>
      <c r="H529" s="9"/>
      <c r="I529" s="9"/>
    </row>
    <row r="530" spans="2:9" x14ac:dyDescent="0.25">
      <c r="B530" s="9"/>
      <c r="C530" s="9"/>
      <c r="D530" s="9"/>
      <c r="E530" s="9"/>
      <c r="F530" s="9"/>
      <c r="G530" s="9"/>
      <c r="H530" s="9"/>
      <c r="I530" s="9"/>
    </row>
    <row r="531" spans="2:9" x14ac:dyDescent="0.25">
      <c r="B531" s="9"/>
      <c r="C531" s="9"/>
      <c r="D531" s="9"/>
      <c r="E531" s="9"/>
      <c r="F531" s="9"/>
      <c r="G531" s="9"/>
      <c r="H531" s="9"/>
      <c r="I531" s="9"/>
    </row>
    <row r="532" spans="2:9" x14ac:dyDescent="0.25">
      <c r="B532" s="9"/>
      <c r="C532" s="9"/>
      <c r="D532" s="9"/>
      <c r="E532" s="9"/>
      <c r="F532" s="9"/>
      <c r="G532" s="9"/>
      <c r="H532" s="9"/>
      <c r="I532" s="9"/>
    </row>
    <row r="533" spans="2:9" x14ac:dyDescent="0.25">
      <c r="B533" s="9"/>
      <c r="C533" s="9"/>
      <c r="D533" s="9"/>
      <c r="E533" s="9"/>
      <c r="F533" s="9"/>
      <c r="G533" s="9"/>
      <c r="H533" s="9"/>
      <c r="I533" s="9"/>
    </row>
    <row r="534" spans="2:9" x14ac:dyDescent="0.25">
      <c r="B534" s="9"/>
      <c r="C534" s="9"/>
      <c r="D534" s="9"/>
      <c r="E534" s="9"/>
      <c r="F534" s="9"/>
      <c r="G534" s="9"/>
      <c r="H534" s="9"/>
      <c r="I534" s="9"/>
    </row>
    <row r="535" spans="2:9" x14ac:dyDescent="0.25">
      <c r="B535" s="9"/>
      <c r="C535" s="9"/>
      <c r="D535" s="9"/>
      <c r="E535" s="9"/>
      <c r="F535" s="9"/>
      <c r="G535" s="9"/>
      <c r="H535" s="9"/>
      <c r="I535" s="9"/>
    </row>
    <row r="536" spans="2:9" x14ac:dyDescent="0.25">
      <c r="B536" s="9"/>
      <c r="C536" s="9"/>
      <c r="D536" s="9"/>
      <c r="E536" s="9"/>
      <c r="F536" s="9"/>
      <c r="G536" s="9"/>
      <c r="H536" s="9"/>
      <c r="I536" s="9"/>
    </row>
    <row r="537" spans="2:9" x14ac:dyDescent="0.25">
      <c r="B537" s="9"/>
      <c r="C537" s="9"/>
      <c r="D537" s="9"/>
      <c r="E537" s="9"/>
      <c r="F537" s="9"/>
      <c r="G537" s="9"/>
      <c r="H537" s="9"/>
      <c r="I537" s="9"/>
    </row>
    <row r="538" spans="2:9" x14ac:dyDescent="0.25">
      <c r="B538" s="9"/>
      <c r="C538" s="9"/>
      <c r="D538" s="9"/>
      <c r="E538" s="9"/>
      <c r="F538" s="9"/>
      <c r="G538" s="9"/>
      <c r="H538" s="9"/>
      <c r="I538" s="9"/>
    </row>
    <row r="539" spans="2:9" x14ac:dyDescent="0.25">
      <c r="B539" s="9"/>
      <c r="C539" s="9"/>
      <c r="D539" s="9"/>
      <c r="E539" s="9"/>
      <c r="F539" s="9"/>
      <c r="G539" s="9"/>
      <c r="H539" s="9"/>
      <c r="I539" s="9"/>
    </row>
    <row r="540" spans="2:9" x14ac:dyDescent="0.25">
      <c r="B540" s="9"/>
      <c r="C540" s="9"/>
      <c r="D540" s="9"/>
      <c r="E540" s="9"/>
      <c r="F540" s="9"/>
      <c r="G540" s="9"/>
      <c r="H540" s="9"/>
      <c r="I540" s="9"/>
    </row>
    <row r="541" spans="2:9" x14ac:dyDescent="0.25">
      <c r="B541" s="9"/>
      <c r="C541" s="9"/>
      <c r="D541" s="9"/>
      <c r="E541" s="9"/>
      <c r="F541" s="9"/>
      <c r="G541" s="9"/>
      <c r="H541" s="9"/>
      <c r="I541" s="9"/>
    </row>
    <row r="542" spans="2:9" x14ac:dyDescent="0.25">
      <c r="B542" s="9"/>
      <c r="C542" s="9"/>
      <c r="D542" s="9"/>
      <c r="E542" s="9"/>
      <c r="F542" s="9"/>
      <c r="G542" s="9"/>
      <c r="H542" s="9"/>
      <c r="I542" s="9"/>
    </row>
    <row r="543" spans="2:9" x14ac:dyDescent="0.25">
      <c r="B543" s="9"/>
      <c r="C543" s="9"/>
      <c r="D543" s="9"/>
      <c r="E543" s="9"/>
      <c r="F543" s="9"/>
      <c r="G543" s="9"/>
      <c r="H543" s="9"/>
      <c r="I543" s="9"/>
    </row>
    <row r="544" spans="2:9" x14ac:dyDescent="0.25">
      <c r="B544" s="9"/>
      <c r="C544" s="9"/>
      <c r="D544" s="9"/>
      <c r="E544" s="9"/>
      <c r="F544" s="9"/>
      <c r="G544" s="9"/>
      <c r="H544" s="9"/>
      <c r="I544" s="9"/>
    </row>
    <row r="545" spans="2:9" x14ac:dyDescent="0.25">
      <c r="B545" s="9"/>
      <c r="C545" s="9"/>
      <c r="D545" s="9"/>
      <c r="E545" s="9"/>
      <c r="F545" s="9"/>
      <c r="G545" s="9"/>
      <c r="H545" s="9"/>
      <c r="I545" s="9"/>
    </row>
    <row r="546" spans="2:9" x14ac:dyDescent="0.25">
      <c r="B546" s="9"/>
      <c r="C546" s="9"/>
      <c r="D546" s="9"/>
      <c r="E546" s="9"/>
      <c r="F546" s="9"/>
      <c r="G546" s="9"/>
      <c r="H546" s="9"/>
      <c r="I546" s="9"/>
    </row>
    <row r="547" spans="2:9" x14ac:dyDescent="0.25">
      <c r="B547" s="9"/>
      <c r="C547" s="9"/>
      <c r="D547" s="9"/>
      <c r="E547" s="9"/>
      <c r="F547" s="9"/>
      <c r="G547" s="9"/>
      <c r="H547" s="9"/>
      <c r="I547" s="9"/>
    </row>
    <row r="548" spans="2:9" x14ac:dyDescent="0.25">
      <c r="B548" s="9"/>
      <c r="C548" s="9"/>
      <c r="D548" s="9"/>
      <c r="E548" s="9"/>
      <c r="F548" s="9"/>
      <c r="G548" s="9"/>
      <c r="H548" s="9"/>
      <c r="I548" s="9"/>
    </row>
    <row r="549" spans="2:9" x14ac:dyDescent="0.25">
      <c r="B549" s="9"/>
      <c r="C549" s="9"/>
      <c r="D549" s="9"/>
      <c r="E549" s="9"/>
      <c r="F549" s="9"/>
      <c r="G549" s="9"/>
      <c r="H549" s="9"/>
      <c r="I549" s="9"/>
    </row>
    <row r="550" spans="2:9" x14ac:dyDescent="0.25">
      <c r="B550" s="9"/>
      <c r="C550" s="9"/>
      <c r="D550" s="9"/>
      <c r="E550" s="9"/>
      <c r="F550" s="9"/>
      <c r="G550" s="9"/>
      <c r="H550" s="9"/>
      <c r="I550" s="9"/>
    </row>
    <row r="551" spans="2:9" x14ac:dyDescent="0.25">
      <c r="B551" s="9"/>
      <c r="C551" s="9"/>
      <c r="D551" s="9"/>
      <c r="E551" s="9"/>
      <c r="F551" s="9"/>
      <c r="G551" s="9"/>
      <c r="H551" s="9"/>
      <c r="I551" s="9"/>
    </row>
    <row r="552" spans="2:9" x14ac:dyDescent="0.25">
      <c r="B552" s="9"/>
      <c r="C552" s="9"/>
      <c r="D552" s="9"/>
      <c r="E552" s="9"/>
      <c r="F552" s="9"/>
      <c r="G552" s="9"/>
      <c r="H552" s="9"/>
      <c r="I552" s="9"/>
    </row>
  </sheetData>
  <hyperlinks>
    <hyperlink ref="G25" r:id="rId1" xr:uid="{E69EA660-CEF3-4A0C-89ED-F49EBD9B4CB3}"/>
    <hyperlink ref="G24" r:id="rId2" xr:uid="{24995A66-ABE3-47AB-A156-CD7798B7AB44}"/>
    <hyperlink ref="G23" r:id="rId3" xr:uid="{BA59F9E5-4A7F-47F7-A33E-E326B85CA58C}"/>
    <hyperlink ref="G22" r:id="rId4" xr:uid="{6BF718CB-E6E7-4F8A-9C9D-573BA6C769E5}"/>
    <hyperlink ref="G21" r:id="rId5" xr:uid="{D807D6F9-B3F6-4DD7-B260-EA34D872DC22}"/>
    <hyperlink ref="G20" r:id="rId6" xr:uid="{7C7FFCCB-9F0F-42CC-933F-EB4C4AD2224A}"/>
    <hyperlink ref="G19" r:id="rId7" xr:uid="{65B091BA-9A03-40F5-AD45-A2E38DA04442}"/>
    <hyperlink ref="G18" r:id="rId8" xr:uid="{2E0573A9-77AA-4D41-8B2E-3278A030538C}"/>
    <hyperlink ref="G17" r:id="rId9" xr:uid="{AEC130B6-1699-4E10-A2B0-DB4564FEE963}"/>
    <hyperlink ref="G16" r:id="rId10" xr:uid="{E2194AB2-1DDD-418C-AAF5-8DE37836F9B8}"/>
  </hyperlinks>
  <pageMargins left="0.7" right="0.7" top="0.75" bottom="0.75" header="0.3" footer="0.3"/>
  <pageSetup paperSize="9" orientation="portrait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CDC94-10E5-4FF6-84DE-9AB053B8999B}">
  <sheetPr codeName="Planilha4" filterMode="1"/>
  <dimension ref="B1:M149"/>
  <sheetViews>
    <sheetView showGridLines="0" tabSelected="1" topLeftCell="D7" zoomScale="85" zoomScaleNormal="85" workbookViewId="0">
      <selection activeCell="B19" sqref="B19:M118"/>
    </sheetView>
  </sheetViews>
  <sheetFormatPr defaultRowHeight="15" x14ac:dyDescent="0.25"/>
  <cols>
    <col min="1" max="1" width="9.140625" style="35"/>
    <col min="2" max="2" width="13.7109375" style="35" bestFit="1" customWidth="1"/>
    <col min="3" max="3" width="73.140625" style="35" customWidth="1"/>
    <col min="4" max="4" width="19.140625" style="35" bestFit="1" customWidth="1"/>
    <col min="5" max="5" width="12.28515625" style="35" bestFit="1" customWidth="1"/>
    <col min="6" max="6" width="20.42578125" style="35" bestFit="1" customWidth="1"/>
    <col min="7" max="7" width="13.85546875" style="35" bestFit="1" customWidth="1"/>
    <col min="8" max="8" width="11.7109375" style="35" bestFit="1" customWidth="1"/>
    <col min="9" max="9" width="13.85546875" style="35" bestFit="1" customWidth="1"/>
    <col min="10" max="10" width="19.42578125" style="35" bestFit="1" customWidth="1"/>
    <col min="11" max="12" width="27" style="35" bestFit="1" customWidth="1"/>
    <col min="13" max="13" width="17.5703125" style="35" bestFit="1" customWidth="1"/>
    <col min="14" max="16384" width="9.140625" style="35"/>
  </cols>
  <sheetData>
    <row r="1" spans="2:11" ht="32.25" x14ac:dyDescent="0.4">
      <c r="B1" s="33"/>
      <c r="C1" s="34"/>
      <c r="D1" s="34"/>
      <c r="E1" s="34"/>
      <c r="F1" s="34"/>
      <c r="G1" s="34"/>
      <c r="H1" s="34"/>
      <c r="I1" s="34"/>
      <c r="J1" s="34"/>
      <c r="K1" s="34"/>
    </row>
    <row r="4" spans="2:11" x14ac:dyDescent="0.25">
      <c r="B4" s="36" t="s">
        <v>127</v>
      </c>
      <c r="C4" s="48">
        <f ca="1">TODAY()</f>
        <v>45182</v>
      </c>
    </row>
    <row r="5" spans="2:11" x14ac:dyDescent="0.25">
      <c r="B5" s="21" t="s">
        <v>0</v>
      </c>
      <c r="C5" s="26"/>
    </row>
    <row r="6" spans="2:11" x14ac:dyDescent="0.25">
      <c r="B6" s="38" t="s">
        <v>1</v>
      </c>
      <c r="C6" s="47" t="e">
        <f>VLOOKUP(C5,Clientes!B:C,2,FALSE)</f>
        <v>#N/A</v>
      </c>
    </row>
    <row r="7" spans="2:11" x14ac:dyDescent="0.25">
      <c r="B7" s="37" t="s">
        <v>129</v>
      </c>
      <c r="C7" s="47" t="e">
        <f>VLOOKUP(VENDAS!C5,Clientes!B:H,7,FALSE)</f>
        <v>#N/A</v>
      </c>
    </row>
    <row r="8" spans="2:11" x14ac:dyDescent="0.25">
      <c r="B8" s="42" t="s">
        <v>6</v>
      </c>
      <c r="C8" s="47" t="e">
        <f>VLOOKUP(C5,Clientes!B:F,5,FALSE)</f>
        <v>#N/A</v>
      </c>
    </row>
    <row r="9" spans="2:11" x14ac:dyDescent="0.25">
      <c r="B9" s="41" t="s">
        <v>130</v>
      </c>
      <c r="C9" s="51"/>
    </row>
    <row r="10" spans="2:11" x14ac:dyDescent="0.25">
      <c r="B10" s="40" t="s">
        <v>131</v>
      </c>
      <c r="C10" s="47" t="e">
        <f>VLOOKUP(C9,Produtos!B:G,2,FALSE)</f>
        <v>#N/A</v>
      </c>
    </row>
    <row r="11" spans="2:11" x14ac:dyDescent="0.25">
      <c r="B11" s="40" t="s">
        <v>132</v>
      </c>
      <c r="C11" s="47" t="e">
        <f>VLOOKUP(C9,Produtos!B:G,1,FALSE)</f>
        <v>#N/A</v>
      </c>
    </row>
    <row r="12" spans="2:11" x14ac:dyDescent="0.25">
      <c r="B12" s="39" t="s">
        <v>133</v>
      </c>
      <c r="C12" s="43"/>
    </row>
    <row r="13" spans="2:11" x14ac:dyDescent="0.25">
      <c r="B13" s="44" t="s">
        <v>159</v>
      </c>
      <c r="C13" s="56" t="e">
        <f>VLOOKUP(C9,Produtos!B:G,6,FALSE)</f>
        <v>#N/A</v>
      </c>
    </row>
    <row r="14" spans="2:11" x14ac:dyDescent="0.25">
      <c r="B14" s="44" t="s">
        <v>158</v>
      </c>
      <c r="C14" s="56" t="e">
        <f>C13-Descontos!C4 - Descontos!A4</f>
        <v>#N/A</v>
      </c>
    </row>
    <row r="15" spans="2:11" ht="30" x14ac:dyDescent="0.25">
      <c r="B15" s="45" t="s">
        <v>134</v>
      </c>
      <c r="C15" s="49"/>
    </row>
    <row r="19" spans="2:13" x14ac:dyDescent="0.25">
      <c r="B19" s="58" t="s">
        <v>126</v>
      </c>
      <c r="C19" s="58" t="s">
        <v>162</v>
      </c>
      <c r="D19" s="58" t="s">
        <v>13</v>
      </c>
      <c r="E19" s="58" t="s">
        <v>163</v>
      </c>
      <c r="F19" s="58" t="s">
        <v>4</v>
      </c>
      <c r="G19" s="58" t="s">
        <v>128</v>
      </c>
      <c r="H19" s="58" t="s">
        <v>17</v>
      </c>
      <c r="I19" s="58" t="s">
        <v>16</v>
      </c>
      <c r="J19" s="58" t="s">
        <v>133</v>
      </c>
      <c r="K19" s="58" t="s">
        <v>164</v>
      </c>
      <c r="L19" s="58" t="s">
        <v>165</v>
      </c>
      <c r="M19" s="58" t="s">
        <v>166</v>
      </c>
    </row>
    <row r="20" spans="2:13" hidden="1" x14ac:dyDescent="0.25">
      <c r="B20" s="64">
        <v>45182</v>
      </c>
      <c r="C20" s="63">
        <v>66666667</v>
      </c>
      <c r="D20" s="63" t="s">
        <v>485</v>
      </c>
      <c r="E20" s="63">
        <v>12472918413</v>
      </c>
      <c r="F20" s="63" t="s">
        <v>488</v>
      </c>
      <c r="G20" s="63" t="s">
        <v>141</v>
      </c>
      <c r="H20" s="63" t="s">
        <v>109</v>
      </c>
      <c r="I20" s="63" t="s">
        <v>141</v>
      </c>
      <c r="J20" s="63" t="s">
        <v>91</v>
      </c>
      <c r="K20" s="65">
        <v>160000</v>
      </c>
      <c r="L20" s="65">
        <v>152000</v>
      </c>
      <c r="M20" s="63" t="s">
        <v>156</v>
      </c>
    </row>
    <row r="21" spans="2:13" hidden="1" x14ac:dyDescent="0.25">
      <c r="B21" s="66">
        <v>45175</v>
      </c>
      <c r="C21" s="67">
        <v>1287468</v>
      </c>
      <c r="D21" s="67" t="s">
        <v>58</v>
      </c>
      <c r="E21" s="67">
        <v>9182471</v>
      </c>
      <c r="F21" s="67" t="s">
        <v>61</v>
      </c>
      <c r="G21" s="67" t="s">
        <v>208</v>
      </c>
      <c r="H21" s="67" t="s">
        <v>288</v>
      </c>
      <c r="I21" s="67" t="s">
        <v>208</v>
      </c>
      <c r="J21" s="67" t="s">
        <v>85</v>
      </c>
      <c r="K21" s="68">
        <v>2000000000000000</v>
      </c>
      <c r="L21" s="68">
        <v>1860000000000000</v>
      </c>
      <c r="M21" s="67" t="s">
        <v>157</v>
      </c>
    </row>
    <row r="22" spans="2:13" hidden="1" x14ac:dyDescent="0.25">
      <c r="B22" s="64">
        <v>45176</v>
      </c>
      <c r="C22" s="67">
        <v>696969</v>
      </c>
      <c r="D22" s="67" t="s">
        <v>45</v>
      </c>
      <c r="E22" s="67">
        <v>126412846</v>
      </c>
      <c r="F22" s="67" t="s">
        <v>43</v>
      </c>
      <c r="G22" s="67" t="s">
        <v>234</v>
      </c>
      <c r="H22" s="67" t="s">
        <v>100</v>
      </c>
      <c r="I22" s="67" t="s">
        <v>234</v>
      </c>
      <c r="J22" s="67" t="s">
        <v>88</v>
      </c>
      <c r="K22" s="68">
        <v>85000</v>
      </c>
      <c r="L22" s="68">
        <v>83300</v>
      </c>
      <c r="M22" s="67" t="s">
        <v>157</v>
      </c>
    </row>
    <row r="23" spans="2:13" hidden="1" x14ac:dyDescent="0.25">
      <c r="B23" s="64">
        <v>45177</v>
      </c>
      <c r="C23" s="67">
        <v>69696969</v>
      </c>
      <c r="D23" s="67" t="s">
        <v>27</v>
      </c>
      <c r="E23" s="67">
        <v>44001295</v>
      </c>
      <c r="F23" s="67" t="s">
        <v>30</v>
      </c>
      <c r="G23" s="67" t="s">
        <v>257</v>
      </c>
      <c r="H23" s="67" t="s">
        <v>112</v>
      </c>
      <c r="I23" s="67" t="s">
        <v>257</v>
      </c>
      <c r="J23" s="67" t="s">
        <v>88</v>
      </c>
      <c r="K23" s="68">
        <v>170000</v>
      </c>
      <c r="L23" s="68">
        <v>158100</v>
      </c>
      <c r="M23" s="67" t="s">
        <v>157</v>
      </c>
    </row>
    <row r="24" spans="2:13" hidden="1" x14ac:dyDescent="0.25">
      <c r="B24" s="64">
        <v>45178</v>
      </c>
      <c r="C24" s="67">
        <v>135134</v>
      </c>
      <c r="D24" s="67" t="s">
        <v>21</v>
      </c>
      <c r="E24" s="67">
        <v>29184123947</v>
      </c>
      <c r="F24" s="67" t="s">
        <v>24</v>
      </c>
      <c r="G24" s="67" t="s">
        <v>276</v>
      </c>
      <c r="H24" s="67" t="s">
        <v>100</v>
      </c>
      <c r="I24" s="67" t="s">
        <v>276</v>
      </c>
      <c r="J24" s="67" t="s">
        <v>73</v>
      </c>
      <c r="K24" s="68">
        <v>85000</v>
      </c>
      <c r="L24" s="68">
        <v>83300</v>
      </c>
      <c r="M24" s="67" t="s">
        <v>157</v>
      </c>
    </row>
    <row r="25" spans="2:13" hidden="1" x14ac:dyDescent="0.25">
      <c r="B25" s="64">
        <v>45179</v>
      </c>
      <c r="C25" s="67">
        <v>124142</v>
      </c>
      <c r="D25" s="67" t="s">
        <v>36</v>
      </c>
      <c r="E25" s="67">
        <v>2497182472</v>
      </c>
      <c r="F25" s="67" t="s">
        <v>30</v>
      </c>
      <c r="G25" s="67" t="s">
        <v>194</v>
      </c>
      <c r="H25" s="67" t="s">
        <v>283</v>
      </c>
      <c r="I25" s="67" t="s">
        <v>194</v>
      </c>
      <c r="J25" s="67" t="s">
        <v>79</v>
      </c>
      <c r="K25" s="68">
        <v>2000000000000000</v>
      </c>
      <c r="L25" s="68">
        <v>1900000000000000</v>
      </c>
      <c r="M25" s="67" t="s">
        <v>152</v>
      </c>
    </row>
    <row r="26" spans="2:13" hidden="1" x14ac:dyDescent="0.25">
      <c r="B26" s="64">
        <v>45180</v>
      </c>
      <c r="C26" s="67">
        <v>12312</v>
      </c>
      <c r="D26" s="67" t="s">
        <v>32</v>
      </c>
      <c r="E26" s="67">
        <v>21424214423</v>
      </c>
      <c r="F26" s="67" t="s">
        <v>24</v>
      </c>
      <c r="G26" s="67" t="s">
        <v>138</v>
      </c>
      <c r="H26" s="67" t="s">
        <v>118</v>
      </c>
      <c r="I26" s="67" t="s">
        <v>138</v>
      </c>
      <c r="J26" s="67" t="s">
        <v>91</v>
      </c>
      <c r="K26" s="68">
        <v>130000</v>
      </c>
      <c r="L26" s="68">
        <v>120900</v>
      </c>
      <c r="M26" s="67" t="s">
        <v>157</v>
      </c>
    </row>
    <row r="27" spans="2:13" hidden="1" x14ac:dyDescent="0.25">
      <c r="B27" s="64">
        <v>45181</v>
      </c>
      <c r="C27" s="59">
        <v>1287468</v>
      </c>
      <c r="D27" s="59" t="s">
        <v>58</v>
      </c>
      <c r="E27" s="59">
        <v>9182471</v>
      </c>
      <c r="F27" s="59" t="s">
        <v>61</v>
      </c>
      <c r="G27" s="59" t="s">
        <v>139</v>
      </c>
      <c r="H27" s="59" t="s">
        <v>115</v>
      </c>
      <c r="I27" s="59" t="s">
        <v>139</v>
      </c>
      <c r="J27" s="59" t="s">
        <v>79</v>
      </c>
      <c r="K27" s="60">
        <v>75000</v>
      </c>
      <c r="L27" s="60">
        <v>73500</v>
      </c>
      <c r="M27" s="59" t="s">
        <v>157</v>
      </c>
    </row>
    <row r="28" spans="2:13" hidden="1" x14ac:dyDescent="0.25">
      <c r="B28" s="64">
        <v>45182</v>
      </c>
      <c r="C28" s="59">
        <v>69696969</v>
      </c>
      <c r="D28" s="59" t="s">
        <v>27</v>
      </c>
      <c r="E28" s="59">
        <v>44001295</v>
      </c>
      <c r="F28" s="59" t="s">
        <v>30</v>
      </c>
      <c r="G28" s="59">
        <v>1234</v>
      </c>
      <c r="H28" s="59" t="s">
        <v>135</v>
      </c>
      <c r="I28" s="59">
        <v>1234</v>
      </c>
      <c r="J28" s="59" t="s">
        <v>85</v>
      </c>
      <c r="K28" s="60">
        <v>200000000</v>
      </c>
      <c r="L28" s="60">
        <v>186000000</v>
      </c>
      <c r="M28" s="59" t="s">
        <v>157</v>
      </c>
    </row>
    <row r="29" spans="2:13" hidden="1" x14ac:dyDescent="0.25">
      <c r="B29" s="64">
        <v>45183</v>
      </c>
      <c r="C29" s="59">
        <v>135134</v>
      </c>
      <c r="D29" s="59" t="s">
        <v>21</v>
      </c>
      <c r="E29" s="59">
        <v>29184123947</v>
      </c>
      <c r="F29" s="59" t="s">
        <v>24</v>
      </c>
      <c r="G29" s="59" t="s">
        <v>145</v>
      </c>
      <c r="H29" s="59" t="s">
        <v>97</v>
      </c>
      <c r="I29" s="59" t="s">
        <v>145</v>
      </c>
      <c r="J29" s="59" t="s">
        <v>73</v>
      </c>
      <c r="K29" s="60">
        <v>90000</v>
      </c>
      <c r="L29" s="60">
        <v>90000</v>
      </c>
      <c r="M29" s="59" t="s">
        <v>152</v>
      </c>
    </row>
    <row r="30" spans="2:13" hidden="1" x14ac:dyDescent="0.25">
      <c r="B30" s="64">
        <v>45184</v>
      </c>
      <c r="C30" s="59">
        <v>123456</v>
      </c>
      <c r="D30" s="59" t="s">
        <v>63</v>
      </c>
      <c r="E30" s="59">
        <v>1284712134</v>
      </c>
      <c r="F30" s="59" t="s">
        <v>56</v>
      </c>
      <c r="G30" s="59" t="s">
        <v>140</v>
      </c>
      <c r="H30" s="59" t="s">
        <v>112</v>
      </c>
      <c r="I30" s="59" t="s">
        <v>140</v>
      </c>
      <c r="J30" s="59" t="s">
        <v>88</v>
      </c>
      <c r="K30" s="60">
        <v>170000</v>
      </c>
      <c r="L30" s="60">
        <v>158100</v>
      </c>
      <c r="M30" s="59" t="s">
        <v>157</v>
      </c>
    </row>
    <row r="31" spans="2:13" hidden="1" x14ac:dyDescent="0.25">
      <c r="B31" s="64">
        <v>45185</v>
      </c>
      <c r="C31" s="63">
        <v>1287468</v>
      </c>
      <c r="D31" s="63" t="s">
        <v>58</v>
      </c>
      <c r="E31" s="63">
        <v>9182471</v>
      </c>
      <c r="F31" s="63" t="s">
        <v>61</v>
      </c>
      <c r="G31" s="63" t="s">
        <v>208</v>
      </c>
      <c r="H31" s="63" t="s">
        <v>288</v>
      </c>
      <c r="I31" s="63" t="s">
        <v>208</v>
      </c>
      <c r="J31" s="63" t="s">
        <v>85</v>
      </c>
      <c r="K31" s="65">
        <v>2000000000000000</v>
      </c>
      <c r="L31" s="65">
        <v>1860000000000000</v>
      </c>
      <c r="M31" s="63" t="s">
        <v>157</v>
      </c>
    </row>
    <row r="32" spans="2:13" hidden="1" x14ac:dyDescent="0.25">
      <c r="B32" s="64">
        <v>45186</v>
      </c>
      <c r="C32" s="67">
        <v>696969</v>
      </c>
      <c r="D32" s="67" t="s">
        <v>45</v>
      </c>
      <c r="E32" s="67">
        <v>126412846</v>
      </c>
      <c r="F32" s="67" t="s">
        <v>43</v>
      </c>
      <c r="G32" s="67" t="s">
        <v>234</v>
      </c>
      <c r="H32" s="67" t="s">
        <v>100</v>
      </c>
      <c r="I32" s="67" t="s">
        <v>234</v>
      </c>
      <c r="J32" s="67" t="s">
        <v>88</v>
      </c>
      <c r="K32" s="68">
        <v>85000</v>
      </c>
      <c r="L32" s="68">
        <v>83300</v>
      </c>
      <c r="M32" s="67" t="s">
        <v>157</v>
      </c>
    </row>
    <row r="33" spans="2:13" hidden="1" x14ac:dyDescent="0.25">
      <c r="B33" s="64">
        <v>45187</v>
      </c>
      <c r="C33" s="67">
        <v>69696969</v>
      </c>
      <c r="D33" s="67" t="s">
        <v>27</v>
      </c>
      <c r="E33" s="67">
        <v>44001295</v>
      </c>
      <c r="F33" s="67" t="s">
        <v>30</v>
      </c>
      <c r="G33" s="67" t="s">
        <v>257</v>
      </c>
      <c r="H33" s="67" t="s">
        <v>112</v>
      </c>
      <c r="I33" s="67" t="s">
        <v>257</v>
      </c>
      <c r="J33" s="67" t="s">
        <v>88</v>
      </c>
      <c r="K33" s="68">
        <v>170000</v>
      </c>
      <c r="L33" s="68">
        <v>158100</v>
      </c>
      <c r="M33" s="67" t="s">
        <v>157</v>
      </c>
    </row>
    <row r="34" spans="2:13" hidden="1" x14ac:dyDescent="0.25">
      <c r="B34" s="64">
        <v>45188</v>
      </c>
      <c r="C34" s="67">
        <v>135134</v>
      </c>
      <c r="D34" s="67" t="s">
        <v>21</v>
      </c>
      <c r="E34" s="67">
        <v>29184123947</v>
      </c>
      <c r="F34" s="67" t="s">
        <v>24</v>
      </c>
      <c r="G34" s="67" t="s">
        <v>276</v>
      </c>
      <c r="H34" s="67" t="s">
        <v>100</v>
      </c>
      <c r="I34" s="67" t="s">
        <v>276</v>
      </c>
      <c r="J34" s="67" t="s">
        <v>73</v>
      </c>
      <c r="K34" s="68">
        <v>85000</v>
      </c>
      <c r="L34" s="68">
        <v>83300</v>
      </c>
      <c r="M34" s="67" t="s">
        <v>157</v>
      </c>
    </row>
    <row r="35" spans="2:13" hidden="1" x14ac:dyDescent="0.25">
      <c r="B35" s="64">
        <v>45189</v>
      </c>
      <c r="C35" s="67">
        <v>124142</v>
      </c>
      <c r="D35" s="67" t="s">
        <v>36</v>
      </c>
      <c r="E35" s="67">
        <v>2497182472</v>
      </c>
      <c r="F35" s="67" t="s">
        <v>30</v>
      </c>
      <c r="G35" s="67" t="s">
        <v>194</v>
      </c>
      <c r="H35" s="67" t="s">
        <v>283</v>
      </c>
      <c r="I35" s="67" t="s">
        <v>194</v>
      </c>
      <c r="J35" s="67" t="s">
        <v>79</v>
      </c>
      <c r="K35" s="68">
        <v>2000000000000000</v>
      </c>
      <c r="L35" s="68">
        <v>1900000000000000</v>
      </c>
      <c r="M35" s="67" t="s">
        <v>152</v>
      </c>
    </row>
    <row r="36" spans="2:13" hidden="1" x14ac:dyDescent="0.25">
      <c r="B36" s="64">
        <v>45190</v>
      </c>
      <c r="C36" s="67">
        <v>12312</v>
      </c>
      <c r="D36" s="67" t="s">
        <v>32</v>
      </c>
      <c r="E36" s="67">
        <v>21424214423</v>
      </c>
      <c r="F36" s="67" t="s">
        <v>24</v>
      </c>
      <c r="G36" s="67" t="s">
        <v>138</v>
      </c>
      <c r="H36" s="67" t="s">
        <v>118</v>
      </c>
      <c r="I36" s="67" t="s">
        <v>138</v>
      </c>
      <c r="J36" s="67" t="s">
        <v>91</v>
      </c>
      <c r="K36" s="68">
        <v>130000</v>
      </c>
      <c r="L36" s="68">
        <v>120900</v>
      </c>
      <c r="M36" s="67" t="s">
        <v>157</v>
      </c>
    </row>
    <row r="37" spans="2:13" hidden="1" x14ac:dyDescent="0.25">
      <c r="B37" s="64">
        <v>45191</v>
      </c>
      <c r="C37" s="59">
        <v>1287468</v>
      </c>
      <c r="D37" s="59" t="s">
        <v>58</v>
      </c>
      <c r="E37" s="59">
        <v>9182471</v>
      </c>
      <c r="F37" s="59" t="s">
        <v>61</v>
      </c>
      <c r="G37" s="59" t="s">
        <v>139</v>
      </c>
      <c r="H37" s="59" t="s">
        <v>115</v>
      </c>
      <c r="I37" s="59" t="s">
        <v>139</v>
      </c>
      <c r="J37" s="59" t="s">
        <v>79</v>
      </c>
      <c r="K37" s="60">
        <v>75000</v>
      </c>
      <c r="L37" s="60">
        <v>73500</v>
      </c>
      <c r="M37" s="59" t="s">
        <v>157</v>
      </c>
    </row>
    <row r="38" spans="2:13" hidden="1" x14ac:dyDescent="0.25">
      <c r="B38" s="64">
        <v>45192</v>
      </c>
      <c r="C38" s="59">
        <v>69696969</v>
      </c>
      <c r="D38" s="59" t="s">
        <v>27</v>
      </c>
      <c r="E38" s="59">
        <v>44001295</v>
      </c>
      <c r="F38" s="59" t="s">
        <v>30</v>
      </c>
      <c r="G38" s="59">
        <v>1234</v>
      </c>
      <c r="H38" s="59" t="s">
        <v>135</v>
      </c>
      <c r="I38" s="59">
        <v>1234</v>
      </c>
      <c r="J38" s="59" t="s">
        <v>85</v>
      </c>
      <c r="K38" s="60">
        <v>200000000</v>
      </c>
      <c r="L38" s="60">
        <v>186000000</v>
      </c>
      <c r="M38" s="59" t="s">
        <v>157</v>
      </c>
    </row>
    <row r="39" spans="2:13" hidden="1" x14ac:dyDescent="0.25">
      <c r="B39" s="64">
        <v>45193</v>
      </c>
      <c r="C39" s="59">
        <v>135134</v>
      </c>
      <c r="D39" s="59" t="s">
        <v>21</v>
      </c>
      <c r="E39" s="59">
        <v>29184123947</v>
      </c>
      <c r="F39" s="59" t="s">
        <v>24</v>
      </c>
      <c r="G39" s="59" t="s">
        <v>145</v>
      </c>
      <c r="H39" s="59" t="s">
        <v>97</v>
      </c>
      <c r="I39" s="59" t="s">
        <v>145</v>
      </c>
      <c r="J39" s="59" t="s">
        <v>73</v>
      </c>
      <c r="K39" s="60">
        <v>90000</v>
      </c>
      <c r="L39" s="60">
        <v>90000</v>
      </c>
      <c r="M39" s="59" t="s">
        <v>152</v>
      </c>
    </row>
    <row r="40" spans="2:13" hidden="1" x14ac:dyDescent="0.25">
      <c r="B40" s="64">
        <v>45194</v>
      </c>
      <c r="C40" s="59">
        <v>123456</v>
      </c>
      <c r="D40" s="59" t="s">
        <v>63</v>
      </c>
      <c r="E40" s="59">
        <v>1284712134</v>
      </c>
      <c r="F40" s="59" t="s">
        <v>56</v>
      </c>
      <c r="G40" s="59" t="s">
        <v>140</v>
      </c>
      <c r="H40" s="59" t="s">
        <v>112</v>
      </c>
      <c r="I40" s="59" t="s">
        <v>140</v>
      </c>
      <c r="J40" s="59" t="s">
        <v>88</v>
      </c>
      <c r="K40" s="60">
        <v>170000</v>
      </c>
      <c r="L40" s="60">
        <v>158100</v>
      </c>
      <c r="M40" s="59" t="s">
        <v>157</v>
      </c>
    </row>
    <row r="41" spans="2:13" hidden="1" x14ac:dyDescent="0.25">
      <c r="B41" s="64">
        <v>45195</v>
      </c>
      <c r="C41" s="63">
        <v>1287468</v>
      </c>
      <c r="D41" s="63" t="s">
        <v>58</v>
      </c>
      <c r="E41" s="63">
        <v>9182471</v>
      </c>
      <c r="F41" s="63" t="s">
        <v>61</v>
      </c>
      <c r="G41" s="63" t="s">
        <v>208</v>
      </c>
      <c r="H41" s="63" t="s">
        <v>288</v>
      </c>
      <c r="I41" s="63" t="s">
        <v>208</v>
      </c>
      <c r="J41" s="63" t="s">
        <v>85</v>
      </c>
      <c r="K41" s="65">
        <v>2000000000000000</v>
      </c>
      <c r="L41" s="65">
        <v>1860000000000000</v>
      </c>
      <c r="M41" s="63" t="s">
        <v>157</v>
      </c>
    </row>
    <row r="42" spans="2:13" hidden="1" x14ac:dyDescent="0.25">
      <c r="B42" s="64">
        <v>45196</v>
      </c>
      <c r="C42" s="67">
        <v>696969</v>
      </c>
      <c r="D42" s="67" t="s">
        <v>45</v>
      </c>
      <c r="E42" s="67">
        <v>126412846</v>
      </c>
      <c r="F42" s="67" t="s">
        <v>43</v>
      </c>
      <c r="G42" s="67" t="s">
        <v>234</v>
      </c>
      <c r="H42" s="67" t="s">
        <v>100</v>
      </c>
      <c r="I42" s="67" t="s">
        <v>234</v>
      </c>
      <c r="J42" s="67" t="s">
        <v>88</v>
      </c>
      <c r="K42" s="68">
        <v>85000</v>
      </c>
      <c r="L42" s="68">
        <v>83300</v>
      </c>
      <c r="M42" s="67" t="s">
        <v>156</v>
      </c>
    </row>
    <row r="43" spans="2:13" hidden="1" x14ac:dyDescent="0.25">
      <c r="B43" s="64">
        <v>45197</v>
      </c>
      <c r="C43" s="67">
        <v>69696969</v>
      </c>
      <c r="D43" s="67" t="s">
        <v>27</v>
      </c>
      <c r="E43" s="67">
        <v>44001295</v>
      </c>
      <c r="F43" s="67" t="s">
        <v>30</v>
      </c>
      <c r="G43" s="67" t="s">
        <v>257</v>
      </c>
      <c r="H43" s="67" t="s">
        <v>112</v>
      </c>
      <c r="I43" s="67" t="s">
        <v>257</v>
      </c>
      <c r="J43" s="67" t="s">
        <v>88</v>
      </c>
      <c r="K43" s="68">
        <v>170000</v>
      </c>
      <c r="L43" s="68">
        <v>158100</v>
      </c>
      <c r="M43" s="67" t="s">
        <v>157</v>
      </c>
    </row>
    <row r="44" spans="2:13" hidden="1" x14ac:dyDescent="0.25">
      <c r="B44" s="64">
        <v>45198</v>
      </c>
      <c r="C44" s="67">
        <v>135134</v>
      </c>
      <c r="D44" s="67" t="s">
        <v>21</v>
      </c>
      <c r="E44" s="67">
        <v>29184123947</v>
      </c>
      <c r="F44" s="67" t="s">
        <v>24</v>
      </c>
      <c r="G44" s="67" t="s">
        <v>276</v>
      </c>
      <c r="H44" s="67" t="s">
        <v>100</v>
      </c>
      <c r="I44" s="67" t="s">
        <v>276</v>
      </c>
      <c r="J44" s="67" t="s">
        <v>73</v>
      </c>
      <c r="K44" s="68">
        <v>85000</v>
      </c>
      <c r="L44" s="68">
        <v>83300</v>
      </c>
      <c r="M44" s="67" t="s">
        <v>157</v>
      </c>
    </row>
    <row r="45" spans="2:13" hidden="1" x14ac:dyDescent="0.25">
      <c r="B45" s="64">
        <v>45199</v>
      </c>
      <c r="C45" s="67">
        <v>124142</v>
      </c>
      <c r="D45" s="67" t="s">
        <v>36</v>
      </c>
      <c r="E45" s="67">
        <v>2497182472</v>
      </c>
      <c r="F45" s="67" t="s">
        <v>30</v>
      </c>
      <c r="G45" s="67" t="s">
        <v>194</v>
      </c>
      <c r="H45" s="67" t="s">
        <v>283</v>
      </c>
      <c r="I45" s="67" t="s">
        <v>194</v>
      </c>
      <c r="J45" s="67" t="s">
        <v>79</v>
      </c>
      <c r="K45" s="68">
        <v>2000000000000000</v>
      </c>
      <c r="L45" s="68">
        <v>1900000000000000</v>
      </c>
      <c r="M45" s="67" t="s">
        <v>152</v>
      </c>
    </row>
    <row r="46" spans="2:13" hidden="1" x14ac:dyDescent="0.25">
      <c r="B46" s="64">
        <v>45200</v>
      </c>
      <c r="C46" s="67">
        <v>12312</v>
      </c>
      <c r="D46" s="67" t="s">
        <v>32</v>
      </c>
      <c r="E46" s="67">
        <v>21424214423</v>
      </c>
      <c r="F46" s="67" t="s">
        <v>24</v>
      </c>
      <c r="G46" s="67" t="s">
        <v>138</v>
      </c>
      <c r="H46" s="67" t="s">
        <v>118</v>
      </c>
      <c r="I46" s="67" t="s">
        <v>138</v>
      </c>
      <c r="J46" s="67" t="s">
        <v>91</v>
      </c>
      <c r="K46" s="68">
        <v>130000</v>
      </c>
      <c r="L46" s="68">
        <v>120900</v>
      </c>
      <c r="M46" s="67" t="s">
        <v>157</v>
      </c>
    </row>
    <row r="47" spans="2:13" hidden="1" x14ac:dyDescent="0.25">
      <c r="B47" s="64">
        <v>45201</v>
      </c>
      <c r="C47" s="59">
        <v>1287468</v>
      </c>
      <c r="D47" s="59" t="s">
        <v>58</v>
      </c>
      <c r="E47" s="59">
        <v>9182471</v>
      </c>
      <c r="F47" s="59" t="s">
        <v>61</v>
      </c>
      <c r="G47" s="59" t="s">
        <v>139</v>
      </c>
      <c r="H47" s="59" t="s">
        <v>115</v>
      </c>
      <c r="I47" s="59" t="s">
        <v>139</v>
      </c>
      <c r="J47" s="59" t="s">
        <v>79</v>
      </c>
      <c r="K47" s="60">
        <v>75000</v>
      </c>
      <c r="L47" s="60">
        <v>73500</v>
      </c>
      <c r="M47" s="59" t="s">
        <v>157</v>
      </c>
    </row>
    <row r="48" spans="2:13" hidden="1" x14ac:dyDescent="0.25">
      <c r="B48" s="61">
        <v>45168</v>
      </c>
      <c r="C48" s="59">
        <v>69696969</v>
      </c>
      <c r="D48" s="59" t="s">
        <v>27</v>
      </c>
      <c r="E48" s="59">
        <v>44001295</v>
      </c>
      <c r="F48" s="59" t="s">
        <v>30</v>
      </c>
      <c r="G48" s="59">
        <v>1234</v>
      </c>
      <c r="H48" s="59" t="s">
        <v>135</v>
      </c>
      <c r="I48" s="59">
        <v>1234</v>
      </c>
      <c r="J48" s="59" t="s">
        <v>85</v>
      </c>
      <c r="K48" s="60">
        <v>200000000</v>
      </c>
      <c r="L48" s="60">
        <v>186000000</v>
      </c>
      <c r="M48" s="59" t="s">
        <v>157</v>
      </c>
    </row>
    <row r="49" spans="2:13" hidden="1" x14ac:dyDescent="0.25">
      <c r="B49" s="61">
        <v>45168</v>
      </c>
      <c r="C49" s="59">
        <v>135134</v>
      </c>
      <c r="D49" s="59" t="s">
        <v>21</v>
      </c>
      <c r="E49" s="59">
        <v>29184123947</v>
      </c>
      <c r="F49" s="59" t="s">
        <v>24</v>
      </c>
      <c r="G49" s="59" t="s">
        <v>145</v>
      </c>
      <c r="H49" s="59" t="s">
        <v>97</v>
      </c>
      <c r="I49" s="59" t="s">
        <v>145</v>
      </c>
      <c r="J49" s="59" t="s">
        <v>73</v>
      </c>
      <c r="K49" s="60">
        <v>90000</v>
      </c>
      <c r="L49" s="60">
        <v>90000</v>
      </c>
      <c r="M49" s="59" t="s">
        <v>152</v>
      </c>
    </row>
    <row r="50" spans="2:13" hidden="1" x14ac:dyDescent="0.25">
      <c r="B50" s="61">
        <v>45168</v>
      </c>
      <c r="C50" s="59">
        <v>123456</v>
      </c>
      <c r="D50" s="59" t="s">
        <v>63</v>
      </c>
      <c r="E50" s="59">
        <v>1284712134</v>
      </c>
      <c r="F50" s="59" t="s">
        <v>56</v>
      </c>
      <c r="G50" s="59" t="s">
        <v>140</v>
      </c>
      <c r="H50" s="59" t="s">
        <v>112</v>
      </c>
      <c r="I50" s="59" t="s">
        <v>140</v>
      </c>
      <c r="J50" s="59" t="s">
        <v>88</v>
      </c>
      <c r="K50" s="60">
        <v>170000</v>
      </c>
      <c r="L50" s="60">
        <v>158100</v>
      </c>
      <c r="M50" s="59" t="s">
        <v>157</v>
      </c>
    </row>
    <row r="51" spans="2:13" hidden="1" x14ac:dyDescent="0.25">
      <c r="B51" s="64">
        <v>45175</v>
      </c>
      <c r="C51" s="63">
        <v>1287468</v>
      </c>
      <c r="D51" s="63" t="s">
        <v>58</v>
      </c>
      <c r="E51" s="63">
        <v>9182471</v>
      </c>
      <c r="F51" s="63" t="s">
        <v>61</v>
      </c>
      <c r="G51" s="63" t="s">
        <v>208</v>
      </c>
      <c r="H51" s="63" t="s">
        <v>288</v>
      </c>
      <c r="I51" s="63" t="s">
        <v>208</v>
      </c>
      <c r="J51" s="63" t="s">
        <v>85</v>
      </c>
      <c r="K51" s="65">
        <v>2000000000000000</v>
      </c>
      <c r="L51" s="65">
        <v>1860000000000000</v>
      </c>
      <c r="M51" s="63" t="s">
        <v>157</v>
      </c>
    </row>
    <row r="52" spans="2:13" hidden="1" x14ac:dyDescent="0.25">
      <c r="B52" s="66">
        <v>45175</v>
      </c>
      <c r="C52" s="67">
        <v>696969</v>
      </c>
      <c r="D52" s="67" t="s">
        <v>45</v>
      </c>
      <c r="E52" s="67">
        <v>126412846</v>
      </c>
      <c r="F52" s="67" t="s">
        <v>43</v>
      </c>
      <c r="G52" s="67" t="s">
        <v>234</v>
      </c>
      <c r="H52" s="67" t="s">
        <v>100</v>
      </c>
      <c r="I52" s="67" t="s">
        <v>234</v>
      </c>
      <c r="J52" s="67" t="s">
        <v>88</v>
      </c>
      <c r="K52" s="68">
        <v>85000</v>
      </c>
      <c r="L52" s="68">
        <v>83300</v>
      </c>
      <c r="M52" s="67" t="s">
        <v>157</v>
      </c>
    </row>
    <row r="53" spans="2:13" hidden="1" x14ac:dyDescent="0.25">
      <c r="B53" s="66">
        <v>45175</v>
      </c>
      <c r="C53" s="67">
        <v>69696969</v>
      </c>
      <c r="D53" s="67" t="s">
        <v>27</v>
      </c>
      <c r="E53" s="67">
        <v>44001295</v>
      </c>
      <c r="F53" s="67" t="s">
        <v>30</v>
      </c>
      <c r="G53" s="67" t="s">
        <v>257</v>
      </c>
      <c r="H53" s="67" t="s">
        <v>112</v>
      </c>
      <c r="I53" s="67" t="s">
        <v>257</v>
      </c>
      <c r="J53" s="67" t="s">
        <v>88</v>
      </c>
      <c r="K53" s="68">
        <v>170000</v>
      </c>
      <c r="L53" s="68">
        <v>158100</v>
      </c>
      <c r="M53" s="67" t="s">
        <v>157</v>
      </c>
    </row>
    <row r="54" spans="2:13" hidden="1" x14ac:dyDescent="0.25">
      <c r="B54" s="66">
        <v>45175</v>
      </c>
      <c r="C54" s="67">
        <v>135134</v>
      </c>
      <c r="D54" s="67" t="s">
        <v>21</v>
      </c>
      <c r="E54" s="67">
        <v>29184123947</v>
      </c>
      <c r="F54" s="67" t="s">
        <v>24</v>
      </c>
      <c r="G54" s="67" t="s">
        <v>276</v>
      </c>
      <c r="H54" s="67" t="s">
        <v>100</v>
      </c>
      <c r="I54" s="67" t="s">
        <v>276</v>
      </c>
      <c r="J54" s="67" t="s">
        <v>73</v>
      </c>
      <c r="K54" s="68">
        <v>85000</v>
      </c>
      <c r="L54" s="68">
        <v>83300</v>
      </c>
      <c r="M54" s="67" t="s">
        <v>157</v>
      </c>
    </row>
    <row r="55" spans="2:13" hidden="1" x14ac:dyDescent="0.25">
      <c r="B55" s="66">
        <v>45168</v>
      </c>
      <c r="C55" s="67">
        <v>124142</v>
      </c>
      <c r="D55" s="67" t="s">
        <v>36</v>
      </c>
      <c r="E55" s="67">
        <v>2497182472</v>
      </c>
      <c r="F55" s="67" t="s">
        <v>30</v>
      </c>
      <c r="G55" s="67" t="s">
        <v>194</v>
      </c>
      <c r="H55" s="67" t="s">
        <v>283</v>
      </c>
      <c r="I55" s="67" t="s">
        <v>194</v>
      </c>
      <c r="J55" s="67" t="s">
        <v>79</v>
      </c>
      <c r="K55" s="68">
        <v>2000000000000000</v>
      </c>
      <c r="L55" s="68">
        <v>1900000000000000</v>
      </c>
      <c r="M55" s="67" t="s">
        <v>152</v>
      </c>
    </row>
    <row r="56" spans="2:13" hidden="1" x14ac:dyDescent="0.25">
      <c r="B56" s="66">
        <v>45168</v>
      </c>
      <c r="C56" s="67">
        <v>12312</v>
      </c>
      <c r="D56" s="67" t="s">
        <v>32</v>
      </c>
      <c r="E56" s="67">
        <v>21424214423</v>
      </c>
      <c r="F56" s="67" t="s">
        <v>24</v>
      </c>
      <c r="G56" s="67" t="s">
        <v>138</v>
      </c>
      <c r="H56" s="67" t="s">
        <v>118</v>
      </c>
      <c r="I56" s="67" t="s">
        <v>138</v>
      </c>
      <c r="J56" s="67" t="s">
        <v>91</v>
      </c>
      <c r="K56" s="68">
        <v>130000</v>
      </c>
      <c r="L56" s="68">
        <v>120900</v>
      </c>
      <c r="M56" s="67" t="s">
        <v>157</v>
      </c>
    </row>
    <row r="57" spans="2:13" hidden="1" x14ac:dyDescent="0.25">
      <c r="B57" s="61">
        <v>45168</v>
      </c>
      <c r="C57" s="59">
        <v>1287468</v>
      </c>
      <c r="D57" s="59" t="s">
        <v>58</v>
      </c>
      <c r="E57" s="59">
        <v>9182471</v>
      </c>
      <c r="F57" s="59" t="s">
        <v>61</v>
      </c>
      <c r="G57" s="59" t="s">
        <v>139</v>
      </c>
      <c r="H57" s="59" t="s">
        <v>115</v>
      </c>
      <c r="I57" s="59" t="s">
        <v>139</v>
      </c>
      <c r="J57" s="59" t="s">
        <v>79</v>
      </c>
      <c r="K57" s="60">
        <v>75000</v>
      </c>
      <c r="L57" s="60">
        <v>73500</v>
      </c>
      <c r="M57" s="59" t="s">
        <v>157</v>
      </c>
    </row>
    <row r="58" spans="2:13" hidden="1" x14ac:dyDescent="0.25">
      <c r="B58" s="61">
        <v>45168</v>
      </c>
      <c r="C58" s="59">
        <v>69696969</v>
      </c>
      <c r="D58" s="59" t="s">
        <v>27</v>
      </c>
      <c r="E58" s="59">
        <v>44001295</v>
      </c>
      <c r="F58" s="59" t="s">
        <v>30</v>
      </c>
      <c r="G58" s="59">
        <v>1234</v>
      </c>
      <c r="H58" s="59" t="s">
        <v>135</v>
      </c>
      <c r="I58" s="59">
        <v>1234</v>
      </c>
      <c r="J58" s="59" t="s">
        <v>85</v>
      </c>
      <c r="K58" s="60">
        <v>200000000</v>
      </c>
      <c r="L58" s="60">
        <v>186000000</v>
      </c>
      <c r="M58" s="59" t="s">
        <v>157</v>
      </c>
    </row>
    <row r="59" spans="2:13" hidden="1" x14ac:dyDescent="0.25">
      <c r="B59" s="61">
        <v>45168</v>
      </c>
      <c r="C59" s="59">
        <v>135134</v>
      </c>
      <c r="D59" s="59" t="s">
        <v>21</v>
      </c>
      <c r="E59" s="59">
        <v>29184123947</v>
      </c>
      <c r="F59" s="59" t="s">
        <v>24</v>
      </c>
      <c r="G59" s="59" t="s">
        <v>145</v>
      </c>
      <c r="H59" s="59" t="s">
        <v>97</v>
      </c>
      <c r="I59" s="59" t="s">
        <v>145</v>
      </c>
      <c r="J59" s="59" t="s">
        <v>73</v>
      </c>
      <c r="K59" s="60">
        <v>90000</v>
      </c>
      <c r="L59" s="60">
        <v>90000</v>
      </c>
      <c r="M59" s="59" t="s">
        <v>152</v>
      </c>
    </row>
    <row r="60" spans="2:13" hidden="1" x14ac:dyDescent="0.25">
      <c r="B60" s="61">
        <v>45168</v>
      </c>
      <c r="C60" s="59">
        <v>123456</v>
      </c>
      <c r="D60" s="59" t="s">
        <v>63</v>
      </c>
      <c r="E60" s="59">
        <v>1284712134</v>
      </c>
      <c r="F60" s="59" t="s">
        <v>56</v>
      </c>
      <c r="G60" s="59" t="s">
        <v>140</v>
      </c>
      <c r="H60" s="59" t="s">
        <v>112</v>
      </c>
      <c r="I60" s="59" t="s">
        <v>140</v>
      </c>
      <c r="J60" s="59" t="s">
        <v>88</v>
      </c>
      <c r="K60" s="60">
        <v>170000</v>
      </c>
      <c r="L60" s="60">
        <v>158100</v>
      </c>
      <c r="M60" s="59" t="s">
        <v>157</v>
      </c>
    </row>
    <row r="61" spans="2:13" hidden="1" x14ac:dyDescent="0.25">
      <c r="B61" s="64">
        <v>45175</v>
      </c>
      <c r="C61" s="63">
        <v>1287468</v>
      </c>
      <c r="D61" s="63" t="s">
        <v>58</v>
      </c>
      <c r="E61" s="63">
        <v>9182471</v>
      </c>
      <c r="F61" s="63" t="s">
        <v>61</v>
      </c>
      <c r="G61" s="63" t="s">
        <v>208</v>
      </c>
      <c r="H61" s="63" t="s">
        <v>288</v>
      </c>
      <c r="I61" s="63" t="s">
        <v>208</v>
      </c>
      <c r="J61" s="63" t="s">
        <v>85</v>
      </c>
      <c r="K61" s="65">
        <v>2000000000000000</v>
      </c>
      <c r="L61" s="65">
        <v>1860000000000000</v>
      </c>
      <c r="M61" s="63" t="s">
        <v>157</v>
      </c>
    </row>
    <row r="62" spans="2:13" hidden="1" x14ac:dyDescent="0.25">
      <c r="B62" s="66">
        <v>45175</v>
      </c>
      <c r="C62" s="67">
        <v>696969</v>
      </c>
      <c r="D62" s="67" t="s">
        <v>45</v>
      </c>
      <c r="E62" s="67">
        <v>126412846</v>
      </c>
      <c r="F62" s="67" t="s">
        <v>43</v>
      </c>
      <c r="G62" s="67" t="s">
        <v>234</v>
      </c>
      <c r="H62" s="67" t="s">
        <v>100</v>
      </c>
      <c r="I62" s="67" t="s">
        <v>234</v>
      </c>
      <c r="J62" s="67" t="s">
        <v>88</v>
      </c>
      <c r="K62" s="68">
        <v>85000</v>
      </c>
      <c r="L62" s="68">
        <v>83300</v>
      </c>
      <c r="M62" s="67" t="s">
        <v>157</v>
      </c>
    </row>
    <row r="63" spans="2:13" hidden="1" x14ac:dyDescent="0.25">
      <c r="B63" s="66">
        <v>45175</v>
      </c>
      <c r="C63" s="67">
        <v>69696969</v>
      </c>
      <c r="D63" s="67" t="s">
        <v>27</v>
      </c>
      <c r="E63" s="67">
        <v>44001295</v>
      </c>
      <c r="F63" s="67" t="s">
        <v>30</v>
      </c>
      <c r="G63" s="67" t="s">
        <v>257</v>
      </c>
      <c r="H63" s="67" t="s">
        <v>112</v>
      </c>
      <c r="I63" s="67" t="s">
        <v>257</v>
      </c>
      <c r="J63" s="67" t="s">
        <v>88</v>
      </c>
      <c r="K63" s="68">
        <v>170000</v>
      </c>
      <c r="L63" s="68">
        <v>158100</v>
      </c>
      <c r="M63" s="67" t="s">
        <v>157</v>
      </c>
    </row>
    <row r="64" spans="2:13" hidden="1" x14ac:dyDescent="0.25">
      <c r="B64" s="66">
        <v>45175</v>
      </c>
      <c r="C64" s="67">
        <v>135134</v>
      </c>
      <c r="D64" s="67" t="s">
        <v>21</v>
      </c>
      <c r="E64" s="67">
        <v>29184123947</v>
      </c>
      <c r="F64" s="67" t="s">
        <v>24</v>
      </c>
      <c r="G64" s="67" t="s">
        <v>276</v>
      </c>
      <c r="H64" s="67" t="s">
        <v>100</v>
      </c>
      <c r="I64" s="67" t="s">
        <v>276</v>
      </c>
      <c r="J64" s="67" t="s">
        <v>73</v>
      </c>
      <c r="K64" s="68">
        <v>85000</v>
      </c>
      <c r="L64" s="68">
        <v>83300</v>
      </c>
      <c r="M64" s="67" t="s">
        <v>157</v>
      </c>
    </row>
    <row r="65" spans="2:13" hidden="1" x14ac:dyDescent="0.25">
      <c r="B65" s="66">
        <v>45168</v>
      </c>
      <c r="C65" s="67">
        <v>124142</v>
      </c>
      <c r="D65" s="67" t="s">
        <v>36</v>
      </c>
      <c r="E65" s="67">
        <v>2497182472</v>
      </c>
      <c r="F65" s="67" t="s">
        <v>30</v>
      </c>
      <c r="G65" s="67" t="s">
        <v>194</v>
      </c>
      <c r="H65" s="67" t="s">
        <v>283</v>
      </c>
      <c r="I65" s="67" t="s">
        <v>194</v>
      </c>
      <c r="J65" s="67" t="s">
        <v>79</v>
      </c>
      <c r="K65" s="68">
        <v>2000000000000000</v>
      </c>
      <c r="L65" s="68">
        <v>1900000000000000</v>
      </c>
      <c r="M65" s="67" t="s">
        <v>152</v>
      </c>
    </row>
    <row r="66" spans="2:13" hidden="1" x14ac:dyDescent="0.25">
      <c r="B66" s="66">
        <v>45168</v>
      </c>
      <c r="C66" s="67">
        <v>12312</v>
      </c>
      <c r="D66" s="67" t="s">
        <v>32</v>
      </c>
      <c r="E66" s="67">
        <v>21424214423</v>
      </c>
      <c r="F66" s="67" t="s">
        <v>24</v>
      </c>
      <c r="G66" s="67" t="s">
        <v>138</v>
      </c>
      <c r="H66" s="67" t="s">
        <v>118</v>
      </c>
      <c r="I66" s="67" t="s">
        <v>138</v>
      </c>
      <c r="J66" s="67" t="s">
        <v>91</v>
      </c>
      <c r="K66" s="68">
        <v>130000</v>
      </c>
      <c r="L66" s="68">
        <v>120900</v>
      </c>
      <c r="M66" s="67" t="s">
        <v>157</v>
      </c>
    </row>
    <row r="67" spans="2:13" hidden="1" x14ac:dyDescent="0.25">
      <c r="B67" s="61">
        <v>45168</v>
      </c>
      <c r="C67" s="59">
        <v>1287468</v>
      </c>
      <c r="D67" s="59" t="s">
        <v>58</v>
      </c>
      <c r="E67" s="59">
        <v>9182471</v>
      </c>
      <c r="F67" s="59" t="s">
        <v>61</v>
      </c>
      <c r="G67" s="59" t="s">
        <v>139</v>
      </c>
      <c r="H67" s="59" t="s">
        <v>115</v>
      </c>
      <c r="I67" s="59" t="s">
        <v>139</v>
      </c>
      <c r="J67" s="59" t="s">
        <v>79</v>
      </c>
      <c r="K67" s="60">
        <v>75000</v>
      </c>
      <c r="L67" s="60">
        <v>73500</v>
      </c>
      <c r="M67" s="59" t="s">
        <v>156</v>
      </c>
    </row>
    <row r="68" spans="2:13" hidden="1" x14ac:dyDescent="0.25">
      <c r="B68" s="61">
        <v>45168</v>
      </c>
      <c r="C68" s="59">
        <v>69696969</v>
      </c>
      <c r="D68" s="59" t="s">
        <v>27</v>
      </c>
      <c r="E68" s="59">
        <v>44001295</v>
      </c>
      <c r="F68" s="59" t="s">
        <v>30</v>
      </c>
      <c r="G68" s="59">
        <v>1234</v>
      </c>
      <c r="H68" s="59" t="s">
        <v>135</v>
      </c>
      <c r="I68" s="59">
        <v>1234</v>
      </c>
      <c r="J68" s="59" t="s">
        <v>85</v>
      </c>
      <c r="K68" s="60">
        <v>200000000</v>
      </c>
      <c r="L68" s="60">
        <v>186000000</v>
      </c>
      <c r="M68" s="59" t="s">
        <v>157</v>
      </c>
    </row>
    <row r="69" spans="2:13" hidden="1" x14ac:dyDescent="0.25">
      <c r="B69" s="61">
        <v>45168</v>
      </c>
      <c r="C69" s="59">
        <v>135134</v>
      </c>
      <c r="D69" s="59" t="s">
        <v>21</v>
      </c>
      <c r="E69" s="59">
        <v>29184123947</v>
      </c>
      <c r="F69" s="59" t="s">
        <v>24</v>
      </c>
      <c r="G69" s="59" t="s">
        <v>145</v>
      </c>
      <c r="H69" s="59" t="s">
        <v>97</v>
      </c>
      <c r="I69" s="59" t="s">
        <v>145</v>
      </c>
      <c r="J69" s="59" t="s">
        <v>73</v>
      </c>
      <c r="K69" s="60">
        <v>90000</v>
      </c>
      <c r="L69" s="60">
        <v>90000</v>
      </c>
      <c r="M69" s="59" t="s">
        <v>152</v>
      </c>
    </row>
    <row r="70" spans="2:13" hidden="1" x14ac:dyDescent="0.25">
      <c r="B70" s="61">
        <v>45168</v>
      </c>
      <c r="C70" s="59">
        <v>123456</v>
      </c>
      <c r="D70" s="59" t="s">
        <v>63</v>
      </c>
      <c r="E70" s="59">
        <v>1284712134</v>
      </c>
      <c r="F70" s="59" t="s">
        <v>56</v>
      </c>
      <c r="G70" s="59" t="s">
        <v>140</v>
      </c>
      <c r="H70" s="59" t="s">
        <v>112</v>
      </c>
      <c r="I70" s="59" t="s">
        <v>140</v>
      </c>
      <c r="J70" s="59" t="s">
        <v>88</v>
      </c>
      <c r="K70" s="60">
        <v>170000</v>
      </c>
      <c r="L70" s="60">
        <v>158100</v>
      </c>
      <c r="M70" s="59" t="s">
        <v>157</v>
      </c>
    </row>
    <row r="71" spans="2:13" hidden="1" x14ac:dyDescent="0.25">
      <c r="B71" s="64">
        <v>45175</v>
      </c>
      <c r="C71" s="63">
        <v>1287468</v>
      </c>
      <c r="D71" s="63" t="s">
        <v>58</v>
      </c>
      <c r="E71" s="63">
        <v>9182471</v>
      </c>
      <c r="F71" s="63" t="s">
        <v>61</v>
      </c>
      <c r="G71" s="63" t="s">
        <v>208</v>
      </c>
      <c r="H71" s="63" t="s">
        <v>288</v>
      </c>
      <c r="I71" s="63" t="s">
        <v>208</v>
      </c>
      <c r="J71" s="63" t="s">
        <v>85</v>
      </c>
      <c r="K71" s="65">
        <v>2000000000000000</v>
      </c>
      <c r="L71" s="65">
        <v>1860000000000000</v>
      </c>
      <c r="M71" s="63" t="s">
        <v>157</v>
      </c>
    </row>
    <row r="72" spans="2:13" hidden="1" x14ac:dyDescent="0.25">
      <c r="B72" s="66">
        <v>45175</v>
      </c>
      <c r="C72" s="67">
        <v>696969</v>
      </c>
      <c r="D72" s="67" t="s">
        <v>45</v>
      </c>
      <c r="E72" s="67">
        <v>126412846</v>
      </c>
      <c r="F72" s="67" t="s">
        <v>43</v>
      </c>
      <c r="G72" s="67" t="s">
        <v>234</v>
      </c>
      <c r="H72" s="67" t="s">
        <v>100</v>
      </c>
      <c r="I72" s="67" t="s">
        <v>234</v>
      </c>
      <c r="J72" s="67" t="s">
        <v>88</v>
      </c>
      <c r="K72" s="68">
        <v>85000</v>
      </c>
      <c r="L72" s="68">
        <v>83300</v>
      </c>
      <c r="M72" s="67" t="s">
        <v>157</v>
      </c>
    </row>
    <row r="73" spans="2:13" hidden="1" x14ac:dyDescent="0.25">
      <c r="B73" s="66">
        <v>45175</v>
      </c>
      <c r="C73" s="67">
        <v>69696969</v>
      </c>
      <c r="D73" s="67" t="s">
        <v>27</v>
      </c>
      <c r="E73" s="67">
        <v>44001295</v>
      </c>
      <c r="F73" s="67" t="s">
        <v>30</v>
      </c>
      <c r="G73" s="67" t="s">
        <v>257</v>
      </c>
      <c r="H73" s="67" t="s">
        <v>112</v>
      </c>
      <c r="I73" s="67" t="s">
        <v>257</v>
      </c>
      <c r="J73" s="67" t="s">
        <v>88</v>
      </c>
      <c r="K73" s="68">
        <v>170000</v>
      </c>
      <c r="L73" s="68">
        <v>158100</v>
      </c>
      <c r="M73" s="67" t="s">
        <v>157</v>
      </c>
    </row>
    <row r="74" spans="2:13" hidden="1" x14ac:dyDescent="0.25">
      <c r="B74" s="66">
        <v>45175</v>
      </c>
      <c r="C74" s="67">
        <v>135134</v>
      </c>
      <c r="D74" s="67" t="s">
        <v>21</v>
      </c>
      <c r="E74" s="67">
        <v>29184123947</v>
      </c>
      <c r="F74" s="67" t="s">
        <v>24</v>
      </c>
      <c r="G74" s="67" t="s">
        <v>276</v>
      </c>
      <c r="H74" s="67" t="s">
        <v>100</v>
      </c>
      <c r="I74" s="67" t="s">
        <v>276</v>
      </c>
      <c r="J74" s="67" t="s">
        <v>73</v>
      </c>
      <c r="K74" s="68">
        <v>85000</v>
      </c>
      <c r="L74" s="68">
        <v>83300</v>
      </c>
      <c r="M74" s="67" t="s">
        <v>157</v>
      </c>
    </row>
    <row r="75" spans="2:13" hidden="1" x14ac:dyDescent="0.25">
      <c r="B75" s="66">
        <v>45168</v>
      </c>
      <c r="C75" s="67">
        <v>124142</v>
      </c>
      <c r="D75" s="67" t="s">
        <v>36</v>
      </c>
      <c r="E75" s="67">
        <v>2497182472</v>
      </c>
      <c r="F75" s="67" t="s">
        <v>30</v>
      </c>
      <c r="G75" s="67" t="s">
        <v>194</v>
      </c>
      <c r="H75" s="67" t="s">
        <v>283</v>
      </c>
      <c r="I75" s="67" t="s">
        <v>194</v>
      </c>
      <c r="J75" s="67" t="s">
        <v>79</v>
      </c>
      <c r="K75" s="68">
        <v>2000000000000000</v>
      </c>
      <c r="L75" s="68">
        <v>1900000000000000</v>
      </c>
      <c r="M75" s="67" t="s">
        <v>152</v>
      </c>
    </row>
    <row r="76" spans="2:13" hidden="1" x14ac:dyDescent="0.25">
      <c r="B76" s="66">
        <v>45168</v>
      </c>
      <c r="C76" s="67">
        <v>12312</v>
      </c>
      <c r="D76" s="67" t="s">
        <v>32</v>
      </c>
      <c r="E76" s="67">
        <v>21424214423</v>
      </c>
      <c r="F76" s="67" t="s">
        <v>24</v>
      </c>
      <c r="G76" s="67" t="s">
        <v>138</v>
      </c>
      <c r="H76" s="67" t="s">
        <v>118</v>
      </c>
      <c r="I76" s="67" t="s">
        <v>138</v>
      </c>
      <c r="J76" s="67" t="s">
        <v>91</v>
      </c>
      <c r="K76" s="68">
        <v>130000</v>
      </c>
      <c r="L76" s="68">
        <v>120900</v>
      </c>
      <c r="M76" s="67" t="s">
        <v>157</v>
      </c>
    </row>
    <row r="77" spans="2:13" hidden="1" x14ac:dyDescent="0.25">
      <c r="B77" s="61">
        <v>45168</v>
      </c>
      <c r="C77" s="59">
        <v>1287468</v>
      </c>
      <c r="D77" s="59" t="s">
        <v>58</v>
      </c>
      <c r="E77" s="59">
        <v>9182471</v>
      </c>
      <c r="F77" s="59" t="s">
        <v>61</v>
      </c>
      <c r="G77" s="59" t="s">
        <v>139</v>
      </c>
      <c r="H77" s="59" t="s">
        <v>115</v>
      </c>
      <c r="I77" s="59" t="s">
        <v>139</v>
      </c>
      <c r="J77" s="59" t="s">
        <v>79</v>
      </c>
      <c r="K77" s="60">
        <v>75000</v>
      </c>
      <c r="L77" s="60">
        <v>73500</v>
      </c>
      <c r="M77" s="59" t="s">
        <v>157</v>
      </c>
    </row>
    <row r="78" spans="2:13" hidden="1" x14ac:dyDescent="0.25">
      <c r="B78" s="61">
        <v>45168</v>
      </c>
      <c r="C78" s="59">
        <v>69696969</v>
      </c>
      <c r="D78" s="59" t="s">
        <v>27</v>
      </c>
      <c r="E78" s="59">
        <v>44001295</v>
      </c>
      <c r="F78" s="59" t="s">
        <v>30</v>
      </c>
      <c r="G78" s="59">
        <v>1234</v>
      </c>
      <c r="H78" s="59" t="s">
        <v>135</v>
      </c>
      <c r="I78" s="59">
        <v>1234</v>
      </c>
      <c r="J78" s="59" t="s">
        <v>85</v>
      </c>
      <c r="K78" s="60">
        <v>200000000</v>
      </c>
      <c r="L78" s="60">
        <v>186000000</v>
      </c>
      <c r="M78" s="59" t="s">
        <v>157</v>
      </c>
    </row>
    <row r="79" spans="2:13" hidden="1" x14ac:dyDescent="0.25">
      <c r="B79" s="61">
        <v>45168</v>
      </c>
      <c r="C79" s="59">
        <v>135134</v>
      </c>
      <c r="D79" s="59" t="s">
        <v>21</v>
      </c>
      <c r="E79" s="59">
        <v>29184123947</v>
      </c>
      <c r="F79" s="59" t="s">
        <v>24</v>
      </c>
      <c r="G79" s="59" t="s">
        <v>145</v>
      </c>
      <c r="H79" s="59" t="s">
        <v>97</v>
      </c>
      <c r="I79" s="59" t="s">
        <v>145</v>
      </c>
      <c r="J79" s="59" t="s">
        <v>73</v>
      </c>
      <c r="K79" s="60">
        <v>90000</v>
      </c>
      <c r="L79" s="60">
        <v>90000</v>
      </c>
      <c r="M79" s="59" t="s">
        <v>152</v>
      </c>
    </row>
    <row r="80" spans="2:13" hidden="1" x14ac:dyDescent="0.25">
      <c r="B80" s="61">
        <v>45168</v>
      </c>
      <c r="C80" s="59">
        <v>123456</v>
      </c>
      <c r="D80" s="59" t="s">
        <v>63</v>
      </c>
      <c r="E80" s="59">
        <v>1284712134</v>
      </c>
      <c r="F80" s="59" t="s">
        <v>56</v>
      </c>
      <c r="G80" s="59" t="s">
        <v>140</v>
      </c>
      <c r="H80" s="59" t="s">
        <v>112</v>
      </c>
      <c r="I80" s="59" t="s">
        <v>140</v>
      </c>
      <c r="J80" s="59" t="s">
        <v>88</v>
      </c>
      <c r="K80" s="60">
        <v>170000</v>
      </c>
      <c r="L80" s="60">
        <v>158100</v>
      </c>
      <c r="M80" s="59" t="s">
        <v>157</v>
      </c>
    </row>
    <row r="81" spans="2:13" hidden="1" x14ac:dyDescent="0.25">
      <c r="B81" s="64">
        <v>45175</v>
      </c>
      <c r="C81" s="63">
        <v>1287468</v>
      </c>
      <c r="D81" s="63" t="s">
        <v>58</v>
      </c>
      <c r="E81" s="63">
        <v>9182471</v>
      </c>
      <c r="F81" s="63" t="s">
        <v>61</v>
      </c>
      <c r="G81" s="63" t="s">
        <v>208</v>
      </c>
      <c r="H81" s="63" t="s">
        <v>288</v>
      </c>
      <c r="I81" s="63" t="s">
        <v>208</v>
      </c>
      <c r="J81" s="63" t="s">
        <v>85</v>
      </c>
      <c r="K81" s="65">
        <v>2000000000000000</v>
      </c>
      <c r="L81" s="65">
        <v>1860000000000000</v>
      </c>
      <c r="M81" s="63" t="s">
        <v>157</v>
      </c>
    </row>
    <row r="82" spans="2:13" hidden="1" x14ac:dyDescent="0.25">
      <c r="B82" s="66">
        <v>45175</v>
      </c>
      <c r="C82" s="67">
        <v>696969</v>
      </c>
      <c r="D82" s="67" t="s">
        <v>45</v>
      </c>
      <c r="E82" s="67">
        <v>126412846</v>
      </c>
      <c r="F82" s="67" t="s">
        <v>43</v>
      </c>
      <c r="G82" s="67" t="s">
        <v>234</v>
      </c>
      <c r="H82" s="67" t="s">
        <v>100</v>
      </c>
      <c r="I82" s="67" t="s">
        <v>234</v>
      </c>
      <c r="J82" s="67" t="s">
        <v>88</v>
      </c>
      <c r="K82" s="68">
        <v>85000</v>
      </c>
      <c r="L82" s="68">
        <v>83300</v>
      </c>
      <c r="M82" s="67" t="s">
        <v>157</v>
      </c>
    </row>
    <row r="83" spans="2:13" x14ac:dyDescent="0.25">
      <c r="B83" s="66">
        <v>45175</v>
      </c>
      <c r="C83" s="67">
        <v>69696969</v>
      </c>
      <c r="D83" s="67" t="s">
        <v>27</v>
      </c>
      <c r="E83" s="67">
        <v>44001295</v>
      </c>
      <c r="F83" s="67" t="s">
        <v>30</v>
      </c>
      <c r="G83" s="67" t="s">
        <v>257</v>
      </c>
      <c r="H83" s="67" t="s">
        <v>112</v>
      </c>
      <c r="I83" s="67" t="s">
        <v>257</v>
      </c>
      <c r="J83" s="67" t="s">
        <v>88</v>
      </c>
      <c r="K83" s="68">
        <v>170000</v>
      </c>
      <c r="L83" s="68">
        <v>158100</v>
      </c>
      <c r="M83" s="67" t="s">
        <v>156</v>
      </c>
    </row>
    <row r="84" spans="2:13" hidden="1" x14ac:dyDescent="0.25">
      <c r="B84" s="66">
        <v>45175</v>
      </c>
      <c r="C84" s="67">
        <v>135134</v>
      </c>
      <c r="D84" s="67" t="s">
        <v>21</v>
      </c>
      <c r="E84" s="67">
        <v>29184123947</v>
      </c>
      <c r="F84" s="67" t="s">
        <v>24</v>
      </c>
      <c r="G84" s="67" t="s">
        <v>276</v>
      </c>
      <c r="H84" s="67" t="s">
        <v>100</v>
      </c>
      <c r="I84" s="67" t="s">
        <v>276</v>
      </c>
      <c r="J84" s="67" t="s">
        <v>73</v>
      </c>
      <c r="K84" s="68">
        <v>85000</v>
      </c>
      <c r="L84" s="68">
        <v>83300</v>
      </c>
      <c r="M84" s="67" t="s">
        <v>157</v>
      </c>
    </row>
    <row r="85" spans="2:13" hidden="1" x14ac:dyDescent="0.25">
      <c r="B85" s="66">
        <v>45168</v>
      </c>
      <c r="C85" s="67">
        <v>124142</v>
      </c>
      <c r="D85" s="67" t="s">
        <v>36</v>
      </c>
      <c r="E85" s="67">
        <v>2497182472</v>
      </c>
      <c r="F85" s="67" t="s">
        <v>30</v>
      </c>
      <c r="G85" s="67" t="s">
        <v>194</v>
      </c>
      <c r="H85" s="67" t="s">
        <v>283</v>
      </c>
      <c r="I85" s="67" t="s">
        <v>194</v>
      </c>
      <c r="J85" s="67" t="s">
        <v>79</v>
      </c>
      <c r="K85" s="68">
        <v>2000000000000000</v>
      </c>
      <c r="L85" s="68">
        <v>1900000000000000</v>
      </c>
      <c r="M85" s="67" t="s">
        <v>152</v>
      </c>
    </row>
    <row r="86" spans="2:13" hidden="1" x14ac:dyDescent="0.25">
      <c r="B86" s="66">
        <v>45168</v>
      </c>
      <c r="C86" s="67">
        <v>12312</v>
      </c>
      <c r="D86" s="67" t="s">
        <v>32</v>
      </c>
      <c r="E86" s="67">
        <v>21424214423</v>
      </c>
      <c r="F86" s="67" t="s">
        <v>24</v>
      </c>
      <c r="G86" s="67" t="s">
        <v>138</v>
      </c>
      <c r="H86" s="67" t="s">
        <v>118</v>
      </c>
      <c r="I86" s="67" t="s">
        <v>138</v>
      </c>
      <c r="J86" s="67" t="s">
        <v>91</v>
      </c>
      <c r="K86" s="68">
        <v>130000</v>
      </c>
      <c r="L86" s="68">
        <v>120900</v>
      </c>
      <c r="M86" s="67" t="s">
        <v>157</v>
      </c>
    </row>
    <row r="87" spans="2:13" hidden="1" x14ac:dyDescent="0.25">
      <c r="B87" s="61">
        <v>45168</v>
      </c>
      <c r="C87" s="59">
        <v>1287468</v>
      </c>
      <c r="D87" s="59" t="s">
        <v>58</v>
      </c>
      <c r="E87" s="59">
        <v>9182471</v>
      </c>
      <c r="F87" s="59" t="s">
        <v>61</v>
      </c>
      <c r="G87" s="59" t="s">
        <v>139</v>
      </c>
      <c r="H87" s="59" t="s">
        <v>115</v>
      </c>
      <c r="I87" s="59" t="s">
        <v>139</v>
      </c>
      <c r="J87" s="59" t="s">
        <v>79</v>
      </c>
      <c r="K87" s="60">
        <v>75000</v>
      </c>
      <c r="L87" s="60">
        <v>73500</v>
      </c>
      <c r="M87" s="59" t="s">
        <v>157</v>
      </c>
    </row>
    <row r="88" spans="2:13" hidden="1" x14ac:dyDescent="0.25">
      <c r="B88" s="61">
        <v>45168</v>
      </c>
      <c r="C88" s="59">
        <v>69696969</v>
      </c>
      <c r="D88" s="59" t="s">
        <v>27</v>
      </c>
      <c r="E88" s="59">
        <v>44001295</v>
      </c>
      <c r="F88" s="59" t="s">
        <v>30</v>
      </c>
      <c r="G88" s="59">
        <v>1234</v>
      </c>
      <c r="H88" s="59" t="s">
        <v>135</v>
      </c>
      <c r="I88" s="59">
        <v>1234</v>
      </c>
      <c r="J88" s="59" t="s">
        <v>85</v>
      </c>
      <c r="K88" s="60">
        <v>200000000</v>
      </c>
      <c r="L88" s="60">
        <v>186000000</v>
      </c>
      <c r="M88" s="59" t="s">
        <v>157</v>
      </c>
    </row>
    <row r="89" spans="2:13" hidden="1" x14ac:dyDescent="0.25">
      <c r="B89" s="61">
        <v>45169</v>
      </c>
      <c r="C89" s="59">
        <v>135134</v>
      </c>
      <c r="D89" s="59" t="s">
        <v>21</v>
      </c>
      <c r="E89" s="59">
        <v>29184123947</v>
      </c>
      <c r="F89" s="59" t="s">
        <v>24</v>
      </c>
      <c r="G89" s="59" t="s">
        <v>145</v>
      </c>
      <c r="H89" s="59" t="s">
        <v>97</v>
      </c>
      <c r="I89" s="59" t="s">
        <v>145</v>
      </c>
      <c r="J89" s="59" t="s">
        <v>73</v>
      </c>
      <c r="K89" s="60">
        <v>90000</v>
      </c>
      <c r="L89" s="60">
        <v>90000</v>
      </c>
      <c r="M89" s="59" t="s">
        <v>152</v>
      </c>
    </row>
    <row r="90" spans="2:13" hidden="1" x14ac:dyDescent="0.25">
      <c r="B90" s="61">
        <v>45170</v>
      </c>
      <c r="C90" s="59">
        <v>123456</v>
      </c>
      <c r="D90" s="59" t="s">
        <v>63</v>
      </c>
      <c r="E90" s="59">
        <v>1284712134</v>
      </c>
      <c r="F90" s="59" t="s">
        <v>56</v>
      </c>
      <c r="G90" s="59" t="s">
        <v>140</v>
      </c>
      <c r="H90" s="59" t="s">
        <v>112</v>
      </c>
      <c r="I90" s="59" t="s">
        <v>140</v>
      </c>
      <c r="J90" s="59" t="s">
        <v>88</v>
      </c>
      <c r="K90" s="60">
        <v>170000</v>
      </c>
      <c r="L90" s="60">
        <v>158100</v>
      </c>
      <c r="M90" s="59" t="s">
        <v>157</v>
      </c>
    </row>
    <row r="91" spans="2:13" hidden="1" x14ac:dyDescent="0.25">
      <c r="B91" s="61">
        <v>45171</v>
      </c>
      <c r="C91" s="63">
        <v>1287468</v>
      </c>
      <c r="D91" s="63" t="s">
        <v>58</v>
      </c>
      <c r="E91" s="63">
        <v>9182471</v>
      </c>
      <c r="F91" s="63" t="s">
        <v>61</v>
      </c>
      <c r="G91" s="63" t="s">
        <v>208</v>
      </c>
      <c r="H91" s="63" t="s">
        <v>288</v>
      </c>
      <c r="I91" s="63" t="s">
        <v>208</v>
      </c>
      <c r="J91" s="63" t="s">
        <v>85</v>
      </c>
      <c r="K91" s="65">
        <v>2000000000000000</v>
      </c>
      <c r="L91" s="65">
        <v>1860000000000000</v>
      </c>
      <c r="M91" s="63" t="s">
        <v>157</v>
      </c>
    </row>
    <row r="92" spans="2:13" hidden="1" x14ac:dyDescent="0.25">
      <c r="B92" s="61">
        <v>45172</v>
      </c>
      <c r="C92" s="67">
        <v>696969</v>
      </c>
      <c r="D92" s="67" t="s">
        <v>45</v>
      </c>
      <c r="E92" s="67">
        <v>126412846</v>
      </c>
      <c r="F92" s="67" t="s">
        <v>43</v>
      </c>
      <c r="G92" s="67" t="s">
        <v>234</v>
      </c>
      <c r="H92" s="67" t="s">
        <v>100</v>
      </c>
      <c r="I92" s="67" t="s">
        <v>234</v>
      </c>
      <c r="J92" s="67" t="s">
        <v>88</v>
      </c>
      <c r="K92" s="68">
        <v>85000</v>
      </c>
      <c r="L92" s="68">
        <v>83300</v>
      </c>
      <c r="M92" s="67" t="s">
        <v>157</v>
      </c>
    </row>
    <row r="93" spans="2:13" hidden="1" x14ac:dyDescent="0.25">
      <c r="B93" s="61">
        <v>45173</v>
      </c>
      <c r="C93" s="67">
        <v>69696969</v>
      </c>
      <c r="D93" s="67" t="s">
        <v>27</v>
      </c>
      <c r="E93" s="67">
        <v>44001295</v>
      </c>
      <c r="F93" s="67" t="s">
        <v>30</v>
      </c>
      <c r="G93" s="67" t="s">
        <v>257</v>
      </c>
      <c r="H93" s="67" t="s">
        <v>112</v>
      </c>
      <c r="I93" s="67" t="s">
        <v>257</v>
      </c>
      <c r="J93" s="67" t="s">
        <v>88</v>
      </c>
      <c r="K93" s="68">
        <v>170000</v>
      </c>
      <c r="L93" s="68">
        <v>158100</v>
      </c>
      <c r="M93" s="67" t="s">
        <v>157</v>
      </c>
    </row>
    <row r="94" spans="2:13" hidden="1" x14ac:dyDescent="0.25">
      <c r="B94" s="61">
        <v>45174</v>
      </c>
      <c r="C94" s="67">
        <v>135134</v>
      </c>
      <c r="D94" s="67" t="s">
        <v>21</v>
      </c>
      <c r="E94" s="67">
        <v>29184123947</v>
      </c>
      <c r="F94" s="67" t="s">
        <v>24</v>
      </c>
      <c r="G94" s="67" t="s">
        <v>276</v>
      </c>
      <c r="H94" s="67" t="s">
        <v>100</v>
      </c>
      <c r="I94" s="67" t="s">
        <v>276</v>
      </c>
      <c r="J94" s="67" t="s">
        <v>73</v>
      </c>
      <c r="K94" s="68">
        <v>85000</v>
      </c>
      <c r="L94" s="68">
        <v>83300</v>
      </c>
      <c r="M94" s="67" t="s">
        <v>157</v>
      </c>
    </row>
    <row r="95" spans="2:13" hidden="1" x14ac:dyDescent="0.25">
      <c r="B95" s="61">
        <v>45175</v>
      </c>
      <c r="C95" s="67">
        <v>124142</v>
      </c>
      <c r="D95" s="67" t="s">
        <v>36</v>
      </c>
      <c r="E95" s="67">
        <v>2497182472</v>
      </c>
      <c r="F95" s="67" t="s">
        <v>30</v>
      </c>
      <c r="G95" s="67" t="s">
        <v>194</v>
      </c>
      <c r="H95" s="67" t="s">
        <v>283</v>
      </c>
      <c r="I95" s="67" t="s">
        <v>194</v>
      </c>
      <c r="J95" s="67" t="s">
        <v>79</v>
      </c>
      <c r="K95" s="68">
        <v>2000000000000000</v>
      </c>
      <c r="L95" s="68">
        <v>1900000000000000</v>
      </c>
      <c r="M95" s="67" t="s">
        <v>152</v>
      </c>
    </row>
    <row r="96" spans="2:13" hidden="1" x14ac:dyDescent="0.25">
      <c r="B96" s="61">
        <v>45176</v>
      </c>
      <c r="C96" s="67">
        <v>12312</v>
      </c>
      <c r="D96" s="67" t="s">
        <v>32</v>
      </c>
      <c r="E96" s="67">
        <v>21424214423</v>
      </c>
      <c r="F96" s="67" t="s">
        <v>24</v>
      </c>
      <c r="G96" s="67" t="s">
        <v>138</v>
      </c>
      <c r="H96" s="67" t="s">
        <v>118</v>
      </c>
      <c r="I96" s="67" t="s">
        <v>138</v>
      </c>
      <c r="J96" s="67" t="s">
        <v>91</v>
      </c>
      <c r="K96" s="68">
        <v>130000</v>
      </c>
      <c r="L96" s="68">
        <v>120900</v>
      </c>
      <c r="M96" s="67" t="s">
        <v>157</v>
      </c>
    </row>
    <row r="97" spans="2:13" hidden="1" x14ac:dyDescent="0.25">
      <c r="B97" s="61">
        <v>45177</v>
      </c>
      <c r="C97" s="59">
        <v>1287468</v>
      </c>
      <c r="D97" s="59" t="s">
        <v>58</v>
      </c>
      <c r="E97" s="59">
        <v>9182471</v>
      </c>
      <c r="F97" s="59" t="s">
        <v>61</v>
      </c>
      <c r="G97" s="59" t="s">
        <v>139</v>
      </c>
      <c r="H97" s="59" t="s">
        <v>115</v>
      </c>
      <c r="I97" s="59" t="s">
        <v>139</v>
      </c>
      <c r="J97" s="59" t="s">
        <v>79</v>
      </c>
      <c r="K97" s="60">
        <v>75000</v>
      </c>
      <c r="L97" s="60">
        <v>73500</v>
      </c>
      <c r="M97" s="59" t="s">
        <v>157</v>
      </c>
    </row>
    <row r="98" spans="2:13" hidden="1" x14ac:dyDescent="0.25">
      <c r="B98" s="61">
        <v>45178</v>
      </c>
      <c r="C98" s="59">
        <v>69696969</v>
      </c>
      <c r="D98" s="59" t="s">
        <v>27</v>
      </c>
      <c r="E98" s="59">
        <v>44001295</v>
      </c>
      <c r="F98" s="59" t="s">
        <v>30</v>
      </c>
      <c r="G98" s="59">
        <v>1234</v>
      </c>
      <c r="H98" s="59" t="s">
        <v>135</v>
      </c>
      <c r="I98" s="59">
        <v>1234</v>
      </c>
      <c r="J98" s="59" t="s">
        <v>85</v>
      </c>
      <c r="K98" s="60">
        <v>200000000</v>
      </c>
      <c r="L98" s="60">
        <v>186000000</v>
      </c>
      <c r="M98" s="59" t="s">
        <v>157</v>
      </c>
    </row>
    <row r="99" spans="2:13" hidden="1" x14ac:dyDescent="0.25">
      <c r="B99" s="61">
        <v>45179</v>
      </c>
      <c r="C99" s="59">
        <v>135134</v>
      </c>
      <c r="D99" s="59" t="s">
        <v>21</v>
      </c>
      <c r="E99" s="59">
        <v>29184123947</v>
      </c>
      <c r="F99" s="59" t="s">
        <v>24</v>
      </c>
      <c r="G99" s="59" t="s">
        <v>145</v>
      </c>
      <c r="H99" s="59" t="s">
        <v>97</v>
      </c>
      <c r="I99" s="59" t="s">
        <v>145</v>
      </c>
      <c r="J99" s="59" t="s">
        <v>73</v>
      </c>
      <c r="K99" s="60">
        <v>90000</v>
      </c>
      <c r="L99" s="60">
        <v>90000</v>
      </c>
      <c r="M99" s="59" t="s">
        <v>152</v>
      </c>
    </row>
    <row r="100" spans="2:13" hidden="1" x14ac:dyDescent="0.25">
      <c r="B100" s="61">
        <v>45180</v>
      </c>
      <c r="C100" s="59">
        <v>123456</v>
      </c>
      <c r="D100" s="59" t="s">
        <v>63</v>
      </c>
      <c r="E100" s="59">
        <v>1284712134</v>
      </c>
      <c r="F100" s="59" t="s">
        <v>56</v>
      </c>
      <c r="G100" s="59" t="s">
        <v>140</v>
      </c>
      <c r="H100" s="59" t="s">
        <v>112</v>
      </c>
      <c r="I100" s="59" t="s">
        <v>140</v>
      </c>
      <c r="J100" s="59" t="s">
        <v>88</v>
      </c>
      <c r="K100" s="60">
        <v>170000</v>
      </c>
      <c r="L100" s="60">
        <v>158100</v>
      </c>
      <c r="M100" s="59" t="s">
        <v>157</v>
      </c>
    </row>
    <row r="101" spans="2:13" hidden="1" x14ac:dyDescent="0.25">
      <c r="B101" s="61">
        <v>45181</v>
      </c>
      <c r="C101" s="63">
        <v>1287468</v>
      </c>
      <c r="D101" s="63" t="s">
        <v>58</v>
      </c>
      <c r="E101" s="63">
        <v>9182471</v>
      </c>
      <c r="F101" s="63" t="s">
        <v>61</v>
      </c>
      <c r="G101" s="63" t="s">
        <v>208</v>
      </c>
      <c r="H101" s="63" t="s">
        <v>288</v>
      </c>
      <c r="I101" s="63" t="s">
        <v>208</v>
      </c>
      <c r="J101" s="63" t="s">
        <v>85</v>
      </c>
      <c r="K101" s="65">
        <v>2000000000000000</v>
      </c>
      <c r="L101" s="65">
        <v>1860000000000000</v>
      </c>
      <c r="M101" s="63" t="s">
        <v>157</v>
      </c>
    </row>
    <row r="102" spans="2:13" hidden="1" x14ac:dyDescent="0.25">
      <c r="B102" s="61">
        <v>45182</v>
      </c>
      <c r="C102" s="67">
        <v>696969</v>
      </c>
      <c r="D102" s="67" t="s">
        <v>45</v>
      </c>
      <c r="E102" s="67">
        <v>126412846</v>
      </c>
      <c r="F102" s="67" t="s">
        <v>43</v>
      </c>
      <c r="G102" s="67" t="s">
        <v>234</v>
      </c>
      <c r="H102" s="67" t="s">
        <v>100</v>
      </c>
      <c r="I102" s="67" t="s">
        <v>234</v>
      </c>
      <c r="J102" s="67" t="s">
        <v>88</v>
      </c>
      <c r="K102" s="68">
        <v>85000</v>
      </c>
      <c r="L102" s="68">
        <v>83300</v>
      </c>
      <c r="M102" s="67" t="s">
        <v>157</v>
      </c>
    </row>
    <row r="103" spans="2:13" hidden="1" x14ac:dyDescent="0.25">
      <c r="B103" s="61">
        <v>45183</v>
      </c>
      <c r="C103" s="67">
        <v>69696969</v>
      </c>
      <c r="D103" s="67" t="s">
        <v>27</v>
      </c>
      <c r="E103" s="67">
        <v>44001295</v>
      </c>
      <c r="F103" s="67" t="s">
        <v>30</v>
      </c>
      <c r="G103" s="67" t="s">
        <v>257</v>
      </c>
      <c r="H103" s="67" t="s">
        <v>112</v>
      </c>
      <c r="I103" s="67" t="s">
        <v>257</v>
      </c>
      <c r="J103" s="67" t="s">
        <v>88</v>
      </c>
      <c r="K103" s="68">
        <v>170000</v>
      </c>
      <c r="L103" s="68">
        <v>158100</v>
      </c>
      <c r="M103" s="67" t="s">
        <v>157</v>
      </c>
    </row>
    <row r="104" spans="2:13" x14ac:dyDescent="0.25">
      <c r="B104" s="61">
        <v>45184</v>
      </c>
      <c r="C104" s="67">
        <v>135134</v>
      </c>
      <c r="D104" s="67" t="s">
        <v>21</v>
      </c>
      <c r="E104" s="67">
        <v>29184123947</v>
      </c>
      <c r="F104" s="67" t="s">
        <v>24</v>
      </c>
      <c r="G104" s="67" t="s">
        <v>276</v>
      </c>
      <c r="H104" s="67" t="s">
        <v>100</v>
      </c>
      <c r="I104" s="67" t="s">
        <v>276</v>
      </c>
      <c r="J104" s="67" t="s">
        <v>73</v>
      </c>
      <c r="K104" s="68">
        <v>85000</v>
      </c>
      <c r="L104" s="68">
        <v>83300</v>
      </c>
      <c r="M104" s="67" t="s">
        <v>156</v>
      </c>
    </row>
    <row r="105" spans="2:13" hidden="1" x14ac:dyDescent="0.25">
      <c r="B105" s="61">
        <v>45185</v>
      </c>
      <c r="C105" s="67">
        <v>124142</v>
      </c>
      <c r="D105" s="67" t="s">
        <v>36</v>
      </c>
      <c r="E105" s="67">
        <v>2497182472</v>
      </c>
      <c r="F105" s="67" t="s">
        <v>30</v>
      </c>
      <c r="G105" s="67" t="s">
        <v>194</v>
      </c>
      <c r="H105" s="67" t="s">
        <v>283</v>
      </c>
      <c r="I105" s="67" t="s">
        <v>194</v>
      </c>
      <c r="J105" s="67" t="s">
        <v>79</v>
      </c>
      <c r="K105" s="68">
        <v>2000000000000000</v>
      </c>
      <c r="L105" s="68">
        <v>1900000000000000</v>
      </c>
      <c r="M105" s="67" t="s">
        <v>152</v>
      </c>
    </row>
    <row r="106" spans="2:13" hidden="1" x14ac:dyDescent="0.25">
      <c r="B106" s="61">
        <v>45186</v>
      </c>
      <c r="C106" s="67">
        <v>12312</v>
      </c>
      <c r="D106" s="67" t="s">
        <v>32</v>
      </c>
      <c r="E106" s="67">
        <v>21424214423</v>
      </c>
      <c r="F106" s="67" t="s">
        <v>24</v>
      </c>
      <c r="G106" s="67" t="s">
        <v>138</v>
      </c>
      <c r="H106" s="67" t="s">
        <v>118</v>
      </c>
      <c r="I106" s="67" t="s">
        <v>138</v>
      </c>
      <c r="J106" s="67" t="s">
        <v>91</v>
      </c>
      <c r="K106" s="68">
        <v>130000</v>
      </c>
      <c r="L106" s="68">
        <v>120900</v>
      </c>
      <c r="M106" s="67" t="s">
        <v>157</v>
      </c>
    </row>
    <row r="107" spans="2:13" hidden="1" x14ac:dyDescent="0.25">
      <c r="B107" s="61">
        <v>45187</v>
      </c>
      <c r="C107" s="59">
        <v>1287468</v>
      </c>
      <c r="D107" s="59" t="s">
        <v>58</v>
      </c>
      <c r="E107" s="59">
        <v>9182471</v>
      </c>
      <c r="F107" s="59" t="s">
        <v>61</v>
      </c>
      <c r="G107" s="59" t="s">
        <v>139</v>
      </c>
      <c r="H107" s="59" t="s">
        <v>115</v>
      </c>
      <c r="I107" s="59" t="s">
        <v>139</v>
      </c>
      <c r="J107" s="59" t="s">
        <v>79</v>
      </c>
      <c r="K107" s="60">
        <v>75000</v>
      </c>
      <c r="L107" s="60">
        <v>73500</v>
      </c>
      <c r="M107" s="59" t="s">
        <v>157</v>
      </c>
    </row>
    <row r="108" spans="2:13" hidden="1" x14ac:dyDescent="0.25">
      <c r="B108" s="61">
        <v>45188</v>
      </c>
      <c r="C108" s="59">
        <v>69696969</v>
      </c>
      <c r="D108" s="59" t="s">
        <v>27</v>
      </c>
      <c r="E108" s="59">
        <v>44001295</v>
      </c>
      <c r="F108" s="59" t="s">
        <v>30</v>
      </c>
      <c r="G108" s="59">
        <v>1234</v>
      </c>
      <c r="H108" s="59" t="s">
        <v>135</v>
      </c>
      <c r="I108" s="59">
        <v>1234</v>
      </c>
      <c r="J108" s="59" t="s">
        <v>85</v>
      </c>
      <c r="K108" s="60">
        <v>200000000</v>
      </c>
      <c r="L108" s="60">
        <v>186000000</v>
      </c>
      <c r="M108" s="59" t="s">
        <v>157</v>
      </c>
    </row>
    <row r="109" spans="2:13" hidden="1" x14ac:dyDescent="0.25">
      <c r="B109" s="61">
        <v>45189</v>
      </c>
      <c r="C109" s="59">
        <v>135134</v>
      </c>
      <c r="D109" s="59" t="s">
        <v>21</v>
      </c>
      <c r="E109" s="59">
        <v>29184123947</v>
      </c>
      <c r="F109" s="59" t="s">
        <v>24</v>
      </c>
      <c r="G109" s="59" t="s">
        <v>145</v>
      </c>
      <c r="H109" s="59" t="s">
        <v>97</v>
      </c>
      <c r="I109" s="59" t="s">
        <v>145</v>
      </c>
      <c r="J109" s="59" t="s">
        <v>73</v>
      </c>
      <c r="K109" s="60">
        <v>90000</v>
      </c>
      <c r="L109" s="60">
        <v>90000</v>
      </c>
      <c r="M109" s="59" t="s">
        <v>152</v>
      </c>
    </row>
    <row r="110" spans="2:13" hidden="1" x14ac:dyDescent="0.25">
      <c r="B110" s="61">
        <v>45190</v>
      </c>
      <c r="C110" s="59">
        <v>123456</v>
      </c>
      <c r="D110" s="59" t="s">
        <v>63</v>
      </c>
      <c r="E110" s="59">
        <v>1284712134</v>
      </c>
      <c r="F110" s="59" t="s">
        <v>56</v>
      </c>
      <c r="G110" s="59" t="s">
        <v>140</v>
      </c>
      <c r="H110" s="59" t="s">
        <v>112</v>
      </c>
      <c r="I110" s="59" t="s">
        <v>140</v>
      </c>
      <c r="J110" s="59" t="s">
        <v>88</v>
      </c>
      <c r="K110" s="60">
        <v>170000</v>
      </c>
      <c r="L110" s="60">
        <v>158100</v>
      </c>
      <c r="M110" s="59" t="s">
        <v>157</v>
      </c>
    </row>
    <row r="111" spans="2:13" hidden="1" x14ac:dyDescent="0.25">
      <c r="B111" s="61">
        <v>45191</v>
      </c>
      <c r="C111" s="63">
        <v>1287468</v>
      </c>
      <c r="D111" s="63" t="s">
        <v>58</v>
      </c>
      <c r="E111" s="63">
        <v>9182471</v>
      </c>
      <c r="F111" s="63" t="s">
        <v>61</v>
      </c>
      <c r="G111" s="63" t="s">
        <v>208</v>
      </c>
      <c r="H111" s="63" t="s">
        <v>288</v>
      </c>
      <c r="I111" s="63" t="s">
        <v>208</v>
      </c>
      <c r="J111" s="63" t="s">
        <v>85</v>
      </c>
      <c r="K111" s="65">
        <v>2000000000000000</v>
      </c>
      <c r="L111" s="65">
        <v>1860000000000000</v>
      </c>
      <c r="M111" s="63" t="s">
        <v>157</v>
      </c>
    </row>
    <row r="112" spans="2:13" hidden="1" x14ac:dyDescent="0.25">
      <c r="B112" s="61">
        <v>45192</v>
      </c>
      <c r="C112" s="67">
        <v>696969</v>
      </c>
      <c r="D112" s="67" t="s">
        <v>45</v>
      </c>
      <c r="E112" s="67">
        <v>126412846</v>
      </c>
      <c r="F112" s="67" t="s">
        <v>43</v>
      </c>
      <c r="G112" s="67" t="s">
        <v>234</v>
      </c>
      <c r="H112" s="67" t="s">
        <v>100</v>
      </c>
      <c r="I112" s="67" t="s">
        <v>234</v>
      </c>
      <c r="J112" s="67" t="s">
        <v>88</v>
      </c>
      <c r="K112" s="68">
        <v>85000</v>
      </c>
      <c r="L112" s="68">
        <v>83300</v>
      </c>
      <c r="M112" s="67" t="s">
        <v>157</v>
      </c>
    </row>
    <row r="113" spans="2:13" hidden="1" x14ac:dyDescent="0.25">
      <c r="B113" s="61">
        <v>45193</v>
      </c>
      <c r="C113" s="67">
        <v>69696969</v>
      </c>
      <c r="D113" s="67" t="s">
        <v>27</v>
      </c>
      <c r="E113" s="67">
        <v>44001295</v>
      </c>
      <c r="F113" s="67" t="s">
        <v>30</v>
      </c>
      <c r="G113" s="67" t="s">
        <v>257</v>
      </c>
      <c r="H113" s="67" t="s">
        <v>112</v>
      </c>
      <c r="I113" s="67" t="s">
        <v>257</v>
      </c>
      <c r="J113" s="67" t="s">
        <v>88</v>
      </c>
      <c r="K113" s="68">
        <v>170000</v>
      </c>
      <c r="L113" s="68">
        <v>158100</v>
      </c>
      <c r="M113" s="67" t="s">
        <v>157</v>
      </c>
    </row>
    <row r="114" spans="2:13" hidden="1" x14ac:dyDescent="0.25">
      <c r="B114" s="61">
        <v>45194</v>
      </c>
      <c r="C114" s="67">
        <v>135134</v>
      </c>
      <c r="D114" s="67" t="s">
        <v>21</v>
      </c>
      <c r="E114" s="67">
        <v>29184123947</v>
      </c>
      <c r="F114" s="67" t="s">
        <v>24</v>
      </c>
      <c r="G114" s="67" t="s">
        <v>276</v>
      </c>
      <c r="H114" s="67" t="s">
        <v>100</v>
      </c>
      <c r="I114" s="67" t="s">
        <v>276</v>
      </c>
      <c r="J114" s="67" t="s">
        <v>73</v>
      </c>
      <c r="K114" s="68">
        <v>85000</v>
      </c>
      <c r="L114" s="68">
        <v>83300</v>
      </c>
      <c r="M114" s="67" t="s">
        <v>157</v>
      </c>
    </row>
    <row r="115" spans="2:13" hidden="1" x14ac:dyDescent="0.25">
      <c r="B115" s="61">
        <v>45195</v>
      </c>
      <c r="C115" s="67">
        <v>124142</v>
      </c>
      <c r="D115" s="67" t="s">
        <v>36</v>
      </c>
      <c r="E115" s="67">
        <v>2497182472</v>
      </c>
      <c r="F115" s="67" t="s">
        <v>30</v>
      </c>
      <c r="G115" s="67" t="s">
        <v>194</v>
      </c>
      <c r="H115" s="67" t="s">
        <v>283</v>
      </c>
      <c r="I115" s="67" t="s">
        <v>194</v>
      </c>
      <c r="J115" s="67" t="s">
        <v>79</v>
      </c>
      <c r="K115" s="68">
        <v>2000000000000000</v>
      </c>
      <c r="L115" s="68">
        <v>1900000000000000</v>
      </c>
      <c r="M115" s="67" t="s">
        <v>152</v>
      </c>
    </row>
    <row r="116" spans="2:13" hidden="1" x14ac:dyDescent="0.25">
      <c r="B116" s="61">
        <v>45196</v>
      </c>
      <c r="C116" s="67">
        <v>12312</v>
      </c>
      <c r="D116" s="67" t="s">
        <v>32</v>
      </c>
      <c r="E116" s="67">
        <v>21424214423</v>
      </c>
      <c r="F116" s="67" t="s">
        <v>24</v>
      </c>
      <c r="G116" s="67" t="s">
        <v>138</v>
      </c>
      <c r="H116" s="67" t="s">
        <v>118</v>
      </c>
      <c r="I116" s="67" t="s">
        <v>138</v>
      </c>
      <c r="J116" s="67" t="s">
        <v>91</v>
      </c>
      <c r="K116" s="68">
        <v>130000</v>
      </c>
      <c r="L116" s="68">
        <v>120900</v>
      </c>
      <c r="M116" s="67" t="s">
        <v>157</v>
      </c>
    </row>
    <row r="117" spans="2:13" hidden="1" x14ac:dyDescent="0.25">
      <c r="B117" s="61">
        <v>45197</v>
      </c>
      <c r="C117" s="59">
        <v>1287468</v>
      </c>
      <c r="D117" s="59" t="s">
        <v>58</v>
      </c>
      <c r="E117" s="59">
        <v>9182471</v>
      </c>
      <c r="F117" s="59" t="s">
        <v>61</v>
      </c>
      <c r="G117" s="59" t="s">
        <v>139</v>
      </c>
      <c r="H117" s="59" t="s">
        <v>115</v>
      </c>
      <c r="I117" s="59" t="s">
        <v>139</v>
      </c>
      <c r="J117" s="59" t="s">
        <v>79</v>
      </c>
      <c r="K117" s="60">
        <v>75000</v>
      </c>
      <c r="L117" s="60">
        <v>73500</v>
      </c>
      <c r="M117" s="59" t="s">
        <v>157</v>
      </c>
    </row>
    <row r="118" spans="2:13" x14ac:dyDescent="0.25">
      <c r="B118" s="61">
        <v>45198</v>
      </c>
      <c r="C118" s="59">
        <v>69696969</v>
      </c>
      <c r="D118" s="59" t="s">
        <v>27</v>
      </c>
      <c r="E118" s="59">
        <v>44001295</v>
      </c>
      <c r="F118" s="59" t="s">
        <v>30</v>
      </c>
      <c r="G118" s="59">
        <v>1234</v>
      </c>
      <c r="H118" s="59" t="s">
        <v>135</v>
      </c>
      <c r="I118" s="59">
        <v>1234</v>
      </c>
      <c r="J118" s="59" t="s">
        <v>85</v>
      </c>
      <c r="K118" s="60">
        <v>200000000</v>
      </c>
      <c r="L118" s="60">
        <v>186000000</v>
      </c>
      <c r="M118" s="59" t="s">
        <v>156</v>
      </c>
    </row>
    <row r="119" spans="2:13" hidden="1" x14ac:dyDescent="0.25">
      <c r="B119" s="61">
        <v>45199</v>
      </c>
      <c r="C119" s="59">
        <v>135134</v>
      </c>
      <c r="D119" s="59" t="s">
        <v>21</v>
      </c>
      <c r="E119" s="59">
        <v>29184123947</v>
      </c>
      <c r="F119" s="59" t="s">
        <v>24</v>
      </c>
      <c r="G119" s="59" t="s">
        <v>145</v>
      </c>
      <c r="H119" s="59" t="s">
        <v>97</v>
      </c>
      <c r="I119" s="59" t="s">
        <v>145</v>
      </c>
      <c r="J119" s="59" t="s">
        <v>73</v>
      </c>
      <c r="K119" s="60">
        <v>90000</v>
      </c>
      <c r="L119" s="60">
        <v>90000</v>
      </c>
      <c r="M119" s="59" t="s">
        <v>152</v>
      </c>
    </row>
    <row r="120" spans="2:13" hidden="1" x14ac:dyDescent="0.25">
      <c r="B120" s="61">
        <v>45200</v>
      </c>
      <c r="C120" s="59">
        <v>123456</v>
      </c>
      <c r="D120" s="59" t="s">
        <v>63</v>
      </c>
      <c r="E120" s="59">
        <v>1284712134</v>
      </c>
      <c r="F120" s="59" t="s">
        <v>56</v>
      </c>
      <c r="G120" s="59" t="s">
        <v>140</v>
      </c>
      <c r="H120" s="59" t="s">
        <v>112</v>
      </c>
      <c r="I120" s="59" t="s">
        <v>140</v>
      </c>
      <c r="J120" s="59" t="s">
        <v>88</v>
      </c>
      <c r="K120" s="60">
        <v>170000</v>
      </c>
      <c r="L120" s="60">
        <v>158100</v>
      </c>
      <c r="M120" s="59" t="s">
        <v>157</v>
      </c>
    </row>
    <row r="121" spans="2:13" x14ac:dyDescent="0.25">
      <c r="B121" s="62"/>
    </row>
    <row r="122" spans="2:13" x14ac:dyDescent="0.25">
      <c r="B122" s="62"/>
    </row>
    <row r="123" spans="2:13" x14ac:dyDescent="0.25">
      <c r="B123" s="62"/>
    </row>
    <row r="124" spans="2:13" x14ac:dyDescent="0.25">
      <c r="B124" s="62"/>
    </row>
    <row r="125" spans="2:13" x14ac:dyDescent="0.25">
      <c r="B125" s="62"/>
    </row>
    <row r="126" spans="2:13" x14ac:dyDescent="0.25">
      <c r="B126" s="62"/>
    </row>
    <row r="127" spans="2:13" x14ac:dyDescent="0.25">
      <c r="B127" s="62"/>
    </row>
    <row r="128" spans="2:13" x14ac:dyDescent="0.25">
      <c r="B128" s="62"/>
    </row>
    <row r="129" spans="2:2" x14ac:dyDescent="0.25">
      <c r="B129" s="62"/>
    </row>
    <row r="130" spans="2:2" x14ac:dyDescent="0.25">
      <c r="B130" s="62"/>
    </row>
    <row r="131" spans="2:2" x14ac:dyDescent="0.25">
      <c r="B131" s="62"/>
    </row>
    <row r="132" spans="2:2" x14ac:dyDescent="0.25">
      <c r="B132" s="62"/>
    </row>
    <row r="133" spans="2:2" x14ac:dyDescent="0.25">
      <c r="B133" s="62"/>
    </row>
    <row r="134" spans="2:2" x14ac:dyDescent="0.25">
      <c r="B134" s="62"/>
    </row>
    <row r="135" spans="2:2" x14ac:dyDescent="0.25">
      <c r="B135" s="62"/>
    </row>
    <row r="136" spans="2:2" x14ac:dyDescent="0.25">
      <c r="B136" s="62"/>
    </row>
    <row r="137" spans="2:2" x14ac:dyDescent="0.25">
      <c r="B137" s="62"/>
    </row>
    <row r="138" spans="2:2" x14ac:dyDescent="0.25">
      <c r="B138" s="62"/>
    </row>
    <row r="139" spans="2:2" x14ac:dyDescent="0.25">
      <c r="B139" s="62"/>
    </row>
    <row r="140" spans="2:2" x14ac:dyDescent="0.25">
      <c r="B140" s="62"/>
    </row>
    <row r="141" spans="2:2" x14ac:dyDescent="0.25">
      <c r="B141" s="62"/>
    </row>
    <row r="142" spans="2:2" x14ac:dyDescent="0.25">
      <c r="B142" s="62"/>
    </row>
    <row r="143" spans="2:2" x14ac:dyDescent="0.25">
      <c r="B143" s="62"/>
    </row>
    <row r="144" spans="2:2" x14ac:dyDescent="0.25">
      <c r="B144" s="62"/>
    </row>
    <row r="145" spans="2:2" x14ac:dyDescent="0.25">
      <c r="B145" s="62"/>
    </row>
    <row r="146" spans="2:2" x14ac:dyDescent="0.25">
      <c r="B146" s="62"/>
    </row>
    <row r="147" spans="2:2" x14ac:dyDescent="0.25">
      <c r="B147" s="62"/>
    </row>
    <row r="148" spans="2:2" x14ac:dyDescent="0.25">
      <c r="B148" s="62"/>
    </row>
    <row r="149" spans="2:2" x14ac:dyDescent="0.25">
      <c r="B149" s="62"/>
    </row>
  </sheetData>
  <autoFilter ref="B19:M120" xr:uid="{69F0EB98-63E3-4A14-80B2-D4A4F08D9D12}">
    <filterColumn colId="4">
      <filters>
        <filter val="Presidente Prudente"/>
      </filters>
    </filterColumn>
    <filterColumn colId="11">
      <filters>
        <filter val="Pix"/>
      </filters>
    </filterColumn>
  </autoFilter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9E6AD3-FE40-4137-8C51-EEE17D274F4E}">
          <x14:formula1>
            <xm:f>Colaboradores!$C$16:$C$25</xm:f>
          </x14:formula1>
          <xm:sqref>C12</xm:sqref>
        </x14:dataValidation>
        <x14:dataValidation type="list" allowBlank="1" showInputMessage="1" showErrorMessage="1" xr:uid="{FB1AEF6E-0A01-47DC-BFE2-6B766749973B}">
          <x14:formula1>
            <xm:f>For.Pag!$A:$A</xm:f>
          </x14:formula1>
          <xm:sqref>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5544A-C354-4AA9-A91C-665C37BA921E}">
  <sheetPr codeName="Planilha5"/>
  <dimension ref="A2:B13"/>
  <sheetViews>
    <sheetView showGridLines="0" workbookViewId="0">
      <selection activeCell="H11" sqref="H11"/>
    </sheetView>
  </sheetViews>
  <sheetFormatPr defaultRowHeight="15" x14ac:dyDescent="0.25"/>
  <cols>
    <col min="1" max="1" width="19.140625" bestFit="1" customWidth="1"/>
    <col min="2" max="2" width="28" style="73" bestFit="1" customWidth="1"/>
  </cols>
  <sheetData>
    <row r="2" spans="1:2" ht="20.25" x14ac:dyDescent="0.3">
      <c r="A2" s="75" t="s">
        <v>496</v>
      </c>
    </row>
    <row r="3" spans="1:2" x14ac:dyDescent="0.25">
      <c r="A3" s="69" t="s">
        <v>490</v>
      </c>
      <c r="B3" s="73" t="s">
        <v>495</v>
      </c>
    </row>
    <row r="4" spans="1:2" x14ac:dyDescent="0.25">
      <c r="A4" s="70" t="s">
        <v>492</v>
      </c>
      <c r="B4" s="73">
        <v>7600000931860000</v>
      </c>
    </row>
    <row r="5" spans="1:2" x14ac:dyDescent="0.25">
      <c r="A5" s="70" t="s">
        <v>493</v>
      </c>
      <c r="B5" s="73">
        <v>3.00000009356115E+16</v>
      </c>
    </row>
    <row r="6" spans="1:2" x14ac:dyDescent="0.25">
      <c r="A6" s="70" t="s">
        <v>494</v>
      </c>
      <c r="B6" s="73">
        <v>352500</v>
      </c>
    </row>
    <row r="7" spans="1:2" x14ac:dyDescent="0.25">
      <c r="A7" s="74" t="s">
        <v>112</v>
      </c>
      <c r="B7" s="73">
        <v>158100</v>
      </c>
    </row>
    <row r="8" spans="1:2" x14ac:dyDescent="0.25">
      <c r="A8" s="71" t="s">
        <v>140</v>
      </c>
      <c r="B8" s="73">
        <v>158100</v>
      </c>
    </row>
    <row r="9" spans="1:2" x14ac:dyDescent="0.25">
      <c r="A9" s="74" t="s">
        <v>115</v>
      </c>
      <c r="B9" s="73">
        <v>73500</v>
      </c>
    </row>
    <row r="10" spans="1:2" x14ac:dyDescent="0.25">
      <c r="A10" s="71" t="s">
        <v>139</v>
      </c>
      <c r="B10" s="73">
        <v>73500</v>
      </c>
    </row>
    <row r="11" spans="1:2" x14ac:dyDescent="0.25">
      <c r="A11" s="74" t="s">
        <v>118</v>
      </c>
      <c r="B11" s="73">
        <v>120900</v>
      </c>
    </row>
    <row r="12" spans="1:2" x14ac:dyDescent="0.25">
      <c r="A12" s="71" t="s">
        <v>138</v>
      </c>
      <c r="B12" s="73">
        <v>120900</v>
      </c>
    </row>
    <row r="13" spans="1:2" x14ac:dyDescent="0.25">
      <c r="A13" s="70" t="s">
        <v>491</v>
      </c>
      <c r="B13" s="73">
        <v>3.7600001867824E+16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B33E5-85D2-479E-82CE-6183EB22AE54}">
  <sheetPr codeName="Planilha6"/>
  <dimension ref="A2:B30"/>
  <sheetViews>
    <sheetView showGridLines="0" workbookViewId="0">
      <selection activeCell="E15" sqref="E15"/>
    </sheetView>
  </sheetViews>
  <sheetFormatPr defaultRowHeight="15" x14ac:dyDescent="0.25"/>
  <cols>
    <col min="1" max="1" width="21.42578125" bestFit="1" customWidth="1"/>
    <col min="2" max="2" width="28" style="73" bestFit="1" customWidth="1"/>
  </cols>
  <sheetData>
    <row r="2" spans="1:2" ht="20.25" x14ac:dyDescent="0.3">
      <c r="A2" s="75" t="s">
        <v>497</v>
      </c>
    </row>
    <row r="3" spans="1:2" x14ac:dyDescent="0.25">
      <c r="A3" s="69" t="s">
        <v>490</v>
      </c>
      <c r="B3" s="73" t="s">
        <v>495</v>
      </c>
    </row>
    <row r="4" spans="1:2" x14ac:dyDescent="0.25">
      <c r="A4" s="70" t="s">
        <v>91</v>
      </c>
      <c r="B4" s="73">
        <v>1361000</v>
      </c>
    </row>
    <row r="5" spans="1:2" x14ac:dyDescent="0.25">
      <c r="A5" s="74" t="s">
        <v>118</v>
      </c>
      <c r="B5" s="73">
        <v>1209000</v>
      </c>
    </row>
    <row r="6" spans="1:2" x14ac:dyDescent="0.25">
      <c r="A6" s="71" t="s">
        <v>138</v>
      </c>
      <c r="B6" s="73">
        <v>1209000</v>
      </c>
    </row>
    <row r="7" spans="1:2" x14ac:dyDescent="0.25">
      <c r="A7" s="74" t="s">
        <v>109</v>
      </c>
      <c r="B7" s="73">
        <v>152000</v>
      </c>
    </row>
    <row r="8" spans="1:2" x14ac:dyDescent="0.25">
      <c r="A8" s="71" t="s">
        <v>141</v>
      </c>
      <c r="B8" s="73">
        <v>152000</v>
      </c>
    </row>
    <row r="9" spans="1:2" x14ac:dyDescent="0.25">
      <c r="A9" s="70" t="s">
        <v>73</v>
      </c>
      <c r="B9" s="73">
        <v>1733000</v>
      </c>
    </row>
    <row r="10" spans="1:2" x14ac:dyDescent="0.25">
      <c r="A10" s="74" t="s">
        <v>100</v>
      </c>
      <c r="B10" s="73">
        <v>833000</v>
      </c>
    </row>
    <row r="11" spans="1:2" x14ac:dyDescent="0.25">
      <c r="A11" s="71" t="s">
        <v>276</v>
      </c>
      <c r="B11" s="73">
        <v>833000</v>
      </c>
    </row>
    <row r="12" spans="1:2" x14ac:dyDescent="0.25">
      <c r="A12" s="74" t="s">
        <v>97</v>
      </c>
      <c r="B12" s="73">
        <v>900000</v>
      </c>
    </row>
    <row r="13" spans="1:2" x14ac:dyDescent="0.25">
      <c r="A13" s="71" t="s">
        <v>145</v>
      </c>
      <c r="B13" s="73">
        <v>900000</v>
      </c>
    </row>
    <row r="14" spans="1:2" x14ac:dyDescent="0.25">
      <c r="A14" s="70" t="s">
        <v>85</v>
      </c>
      <c r="B14" s="73">
        <v>1.860000186E+16</v>
      </c>
    </row>
    <row r="15" spans="1:2" x14ac:dyDescent="0.25">
      <c r="A15" s="74" t="s">
        <v>288</v>
      </c>
      <c r="B15" s="73">
        <v>1.86E+16</v>
      </c>
    </row>
    <row r="16" spans="1:2" x14ac:dyDescent="0.25">
      <c r="A16" s="71" t="s">
        <v>208</v>
      </c>
      <c r="B16" s="73">
        <v>1.86E+16</v>
      </c>
    </row>
    <row r="17" spans="1:2" x14ac:dyDescent="0.25">
      <c r="A17" s="74" t="s">
        <v>135</v>
      </c>
      <c r="B17" s="73">
        <v>1860000000</v>
      </c>
    </row>
    <row r="18" spans="1:2" x14ac:dyDescent="0.25">
      <c r="A18" s="71">
        <v>1234</v>
      </c>
      <c r="B18" s="73">
        <v>1860000000</v>
      </c>
    </row>
    <row r="19" spans="1:2" x14ac:dyDescent="0.25">
      <c r="A19" s="70" t="s">
        <v>88</v>
      </c>
      <c r="B19" s="73">
        <v>3995000</v>
      </c>
    </row>
    <row r="20" spans="1:2" x14ac:dyDescent="0.25">
      <c r="A20" s="74" t="s">
        <v>100</v>
      </c>
      <c r="B20" s="73">
        <v>833000</v>
      </c>
    </row>
    <row r="21" spans="1:2" x14ac:dyDescent="0.25">
      <c r="A21" s="71" t="s">
        <v>234</v>
      </c>
      <c r="B21" s="73">
        <v>833000</v>
      </c>
    </row>
    <row r="22" spans="1:2" x14ac:dyDescent="0.25">
      <c r="A22" s="74" t="s">
        <v>112</v>
      </c>
      <c r="B22" s="73">
        <v>3162000</v>
      </c>
    </row>
    <row r="23" spans="1:2" x14ac:dyDescent="0.25">
      <c r="A23" s="71" t="s">
        <v>257</v>
      </c>
      <c r="B23" s="73">
        <v>1581000</v>
      </c>
    </row>
    <row r="24" spans="1:2" x14ac:dyDescent="0.25">
      <c r="A24" s="71" t="s">
        <v>140</v>
      </c>
      <c r="B24" s="73">
        <v>1581000</v>
      </c>
    </row>
    <row r="25" spans="1:2" x14ac:dyDescent="0.25">
      <c r="A25" s="70" t="s">
        <v>79</v>
      </c>
      <c r="B25" s="73">
        <v>1.9000000000735E+16</v>
      </c>
    </row>
    <row r="26" spans="1:2" x14ac:dyDescent="0.25">
      <c r="A26" s="74" t="s">
        <v>115</v>
      </c>
      <c r="B26" s="73">
        <v>735000</v>
      </c>
    </row>
    <row r="27" spans="1:2" x14ac:dyDescent="0.25">
      <c r="A27" s="71" t="s">
        <v>139</v>
      </c>
      <c r="B27" s="73">
        <v>735000</v>
      </c>
    </row>
    <row r="28" spans="1:2" x14ac:dyDescent="0.25">
      <c r="A28" s="74" t="s">
        <v>283</v>
      </c>
      <c r="B28" s="73">
        <v>1.9E+16</v>
      </c>
    </row>
    <row r="29" spans="1:2" x14ac:dyDescent="0.25">
      <c r="A29" s="71" t="s">
        <v>194</v>
      </c>
      <c r="B29" s="73">
        <v>1.9E+16</v>
      </c>
    </row>
    <row r="30" spans="1:2" x14ac:dyDescent="0.25">
      <c r="A30" s="70" t="s">
        <v>491</v>
      </c>
      <c r="B30" s="73">
        <v>3.7600001867824E+16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C322F-8289-4F8E-B110-95A7543B8687}">
  <sheetPr codeName="Planilha7"/>
  <dimension ref="A2:B35"/>
  <sheetViews>
    <sheetView showGridLines="0" zoomScale="85" zoomScaleNormal="85" workbookViewId="0">
      <selection activeCell="C11" sqref="C11"/>
    </sheetView>
  </sheetViews>
  <sheetFormatPr defaultRowHeight="15" x14ac:dyDescent="0.25"/>
  <cols>
    <col min="1" max="1" width="19.42578125" bestFit="1" customWidth="1"/>
    <col min="2" max="2" width="28" style="73" bestFit="1" customWidth="1"/>
  </cols>
  <sheetData>
    <row r="2" spans="1:2" ht="23.25" x14ac:dyDescent="0.35">
      <c r="A2" s="76" t="s">
        <v>516</v>
      </c>
    </row>
    <row r="3" spans="1:2" x14ac:dyDescent="0.25">
      <c r="A3" s="69" t="s">
        <v>490</v>
      </c>
      <c r="B3" s="73" t="s">
        <v>495</v>
      </c>
    </row>
    <row r="4" spans="1:2" x14ac:dyDescent="0.25">
      <c r="A4" s="70" t="s">
        <v>100</v>
      </c>
      <c r="B4" s="73">
        <v>1666000</v>
      </c>
    </row>
    <row r="5" spans="1:2" x14ac:dyDescent="0.25">
      <c r="A5" s="74" t="s">
        <v>276</v>
      </c>
      <c r="B5" s="73">
        <v>833000</v>
      </c>
    </row>
    <row r="6" spans="1:2" x14ac:dyDescent="0.25">
      <c r="A6" s="71" t="s">
        <v>276</v>
      </c>
      <c r="B6" s="73">
        <v>833000</v>
      </c>
    </row>
    <row r="7" spans="1:2" x14ac:dyDescent="0.25">
      <c r="A7" s="74" t="s">
        <v>234</v>
      </c>
      <c r="B7" s="73">
        <v>833000</v>
      </c>
    </row>
    <row r="8" spans="1:2" x14ac:dyDescent="0.25">
      <c r="A8" s="71" t="s">
        <v>234</v>
      </c>
      <c r="B8" s="73">
        <v>833000</v>
      </c>
    </row>
    <row r="9" spans="1:2" x14ac:dyDescent="0.25">
      <c r="A9" s="70" t="s">
        <v>112</v>
      </c>
      <c r="B9" s="73">
        <v>3162000</v>
      </c>
    </row>
    <row r="10" spans="1:2" x14ac:dyDescent="0.25">
      <c r="A10" s="74" t="s">
        <v>257</v>
      </c>
      <c r="B10" s="73">
        <v>1581000</v>
      </c>
    </row>
    <row r="11" spans="1:2" x14ac:dyDescent="0.25">
      <c r="A11" s="71" t="s">
        <v>257</v>
      </c>
      <c r="B11" s="73">
        <v>1581000</v>
      </c>
    </row>
    <row r="12" spans="1:2" x14ac:dyDescent="0.25">
      <c r="A12" s="74" t="s">
        <v>140</v>
      </c>
      <c r="B12" s="73">
        <v>1581000</v>
      </c>
    </row>
    <row r="13" spans="1:2" x14ac:dyDescent="0.25">
      <c r="A13" s="71" t="s">
        <v>140</v>
      </c>
      <c r="B13" s="73">
        <v>1581000</v>
      </c>
    </row>
    <row r="14" spans="1:2" x14ac:dyDescent="0.25">
      <c r="A14" s="70" t="s">
        <v>97</v>
      </c>
      <c r="B14" s="73">
        <v>900000</v>
      </c>
    </row>
    <row r="15" spans="1:2" x14ac:dyDescent="0.25">
      <c r="A15" s="74" t="s">
        <v>145</v>
      </c>
      <c r="B15" s="73">
        <v>900000</v>
      </c>
    </row>
    <row r="16" spans="1:2" x14ac:dyDescent="0.25">
      <c r="A16" s="71" t="s">
        <v>145</v>
      </c>
      <c r="B16" s="73">
        <v>900000</v>
      </c>
    </row>
    <row r="17" spans="1:2" x14ac:dyDescent="0.25">
      <c r="A17" s="70" t="s">
        <v>115</v>
      </c>
      <c r="B17" s="73">
        <v>735000</v>
      </c>
    </row>
    <row r="18" spans="1:2" x14ac:dyDescent="0.25">
      <c r="A18" s="74" t="s">
        <v>139</v>
      </c>
      <c r="B18" s="73">
        <v>735000</v>
      </c>
    </row>
    <row r="19" spans="1:2" x14ac:dyDescent="0.25">
      <c r="A19" s="71" t="s">
        <v>139</v>
      </c>
      <c r="B19" s="73">
        <v>735000</v>
      </c>
    </row>
    <row r="20" spans="1:2" x14ac:dyDescent="0.25">
      <c r="A20" s="70" t="s">
        <v>288</v>
      </c>
      <c r="B20" s="73">
        <v>1.86E+16</v>
      </c>
    </row>
    <row r="21" spans="1:2" x14ac:dyDescent="0.25">
      <c r="A21" s="74" t="s">
        <v>208</v>
      </c>
      <c r="B21" s="73">
        <v>1.86E+16</v>
      </c>
    </row>
    <row r="22" spans="1:2" x14ac:dyDescent="0.25">
      <c r="A22" s="71" t="s">
        <v>208</v>
      </c>
      <c r="B22" s="73">
        <v>1.86E+16</v>
      </c>
    </row>
    <row r="23" spans="1:2" x14ac:dyDescent="0.25">
      <c r="A23" s="70" t="s">
        <v>135</v>
      </c>
      <c r="B23" s="73">
        <v>1860000000</v>
      </c>
    </row>
    <row r="24" spans="1:2" x14ac:dyDescent="0.25">
      <c r="A24" s="74">
        <v>1234</v>
      </c>
      <c r="B24" s="73">
        <v>1860000000</v>
      </c>
    </row>
    <row r="25" spans="1:2" x14ac:dyDescent="0.25">
      <c r="A25" s="71">
        <v>1234</v>
      </c>
      <c r="B25" s="73">
        <v>1860000000</v>
      </c>
    </row>
    <row r="26" spans="1:2" x14ac:dyDescent="0.25">
      <c r="A26" s="70" t="s">
        <v>118</v>
      </c>
      <c r="B26" s="73">
        <v>1209000</v>
      </c>
    </row>
    <row r="27" spans="1:2" x14ac:dyDescent="0.25">
      <c r="A27" s="74" t="s">
        <v>138</v>
      </c>
      <c r="B27" s="73">
        <v>1209000</v>
      </c>
    </row>
    <row r="28" spans="1:2" x14ac:dyDescent="0.25">
      <c r="A28" s="71" t="s">
        <v>138</v>
      </c>
      <c r="B28" s="73">
        <v>1209000</v>
      </c>
    </row>
    <row r="29" spans="1:2" x14ac:dyDescent="0.25">
      <c r="A29" s="70" t="s">
        <v>283</v>
      </c>
      <c r="B29" s="73">
        <v>1.9E+16</v>
      </c>
    </row>
    <row r="30" spans="1:2" x14ac:dyDescent="0.25">
      <c r="A30" s="74" t="s">
        <v>194</v>
      </c>
      <c r="B30" s="73">
        <v>1.9E+16</v>
      </c>
    </row>
    <row r="31" spans="1:2" x14ac:dyDescent="0.25">
      <c r="A31" s="71" t="s">
        <v>194</v>
      </c>
      <c r="B31" s="73">
        <v>1.9E+16</v>
      </c>
    </row>
    <row r="32" spans="1:2" x14ac:dyDescent="0.25">
      <c r="A32" s="70" t="s">
        <v>109</v>
      </c>
      <c r="B32" s="73">
        <v>152000</v>
      </c>
    </row>
    <row r="33" spans="1:2" x14ac:dyDescent="0.25">
      <c r="A33" s="74" t="s">
        <v>141</v>
      </c>
      <c r="B33" s="73">
        <v>152000</v>
      </c>
    </row>
    <row r="34" spans="1:2" x14ac:dyDescent="0.25">
      <c r="A34" s="71" t="s">
        <v>141</v>
      </c>
      <c r="B34" s="73">
        <v>152000</v>
      </c>
    </row>
    <row r="35" spans="1:2" x14ac:dyDescent="0.25">
      <c r="A35" s="70" t="s">
        <v>491</v>
      </c>
      <c r="B35" s="73">
        <v>3.7600001867824E+16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8429-5536-4488-AC49-7B4404ED56B4}">
  <sheetPr codeName="Planilha8"/>
  <dimension ref="A2:B31"/>
  <sheetViews>
    <sheetView showGridLines="0" zoomScale="85" zoomScaleNormal="85" workbookViewId="0">
      <selection activeCell="C20" sqref="C20"/>
    </sheetView>
  </sheetViews>
  <sheetFormatPr defaultRowHeight="15" x14ac:dyDescent="0.25"/>
  <cols>
    <col min="1" max="1" width="18" bestFit="1" customWidth="1"/>
    <col min="2" max="2" width="28" style="73" bestFit="1" customWidth="1"/>
  </cols>
  <sheetData>
    <row r="2" spans="1:2" ht="25.5" x14ac:dyDescent="0.35">
      <c r="A2" s="77" t="s">
        <v>505</v>
      </c>
    </row>
    <row r="3" spans="1:2" x14ac:dyDescent="0.25">
      <c r="A3" s="69" t="s">
        <v>490</v>
      </c>
      <c r="B3" s="73" t="s">
        <v>495</v>
      </c>
    </row>
    <row r="4" spans="1:2" x14ac:dyDescent="0.25">
      <c r="A4" s="70" t="s">
        <v>100</v>
      </c>
      <c r="B4" s="73">
        <v>1666000</v>
      </c>
    </row>
    <row r="5" spans="1:2" x14ac:dyDescent="0.25">
      <c r="A5" s="74" t="s">
        <v>493</v>
      </c>
      <c r="B5" s="73">
        <v>1666000</v>
      </c>
    </row>
    <row r="6" spans="1:2" x14ac:dyDescent="0.25">
      <c r="A6" s="70" t="s">
        <v>112</v>
      </c>
      <c r="B6" s="73">
        <v>3162000</v>
      </c>
    </row>
    <row r="7" spans="1:2" x14ac:dyDescent="0.25">
      <c r="A7" s="74" t="s">
        <v>492</v>
      </c>
      <c r="B7" s="73">
        <v>632400</v>
      </c>
    </row>
    <row r="8" spans="1:2" x14ac:dyDescent="0.25">
      <c r="A8" s="74" t="s">
        <v>493</v>
      </c>
      <c r="B8" s="73">
        <v>2371500</v>
      </c>
    </row>
    <row r="9" spans="1:2" x14ac:dyDescent="0.25">
      <c r="A9" s="74" t="s">
        <v>494</v>
      </c>
      <c r="B9" s="73">
        <v>158100</v>
      </c>
    </row>
    <row r="10" spans="1:2" x14ac:dyDescent="0.25">
      <c r="A10" s="70" t="s">
        <v>97</v>
      </c>
      <c r="B10" s="73">
        <v>900000</v>
      </c>
    </row>
    <row r="11" spans="1:2" x14ac:dyDescent="0.25">
      <c r="A11" s="74" t="s">
        <v>492</v>
      </c>
      <c r="B11" s="73">
        <v>450000</v>
      </c>
    </row>
    <row r="12" spans="1:2" x14ac:dyDescent="0.25">
      <c r="A12" s="74" t="s">
        <v>493</v>
      </c>
      <c r="B12" s="73">
        <v>450000</v>
      </c>
    </row>
    <row r="13" spans="1:2" x14ac:dyDescent="0.25">
      <c r="A13" s="70" t="s">
        <v>115</v>
      </c>
      <c r="B13" s="73">
        <v>735000</v>
      </c>
    </row>
    <row r="14" spans="1:2" x14ac:dyDescent="0.25">
      <c r="A14" s="74" t="s">
        <v>492</v>
      </c>
      <c r="B14" s="73">
        <v>294000</v>
      </c>
    </row>
    <row r="15" spans="1:2" x14ac:dyDescent="0.25">
      <c r="A15" s="74" t="s">
        <v>493</v>
      </c>
      <c r="B15" s="73">
        <v>367500</v>
      </c>
    </row>
    <row r="16" spans="1:2" x14ac:dyDescent="0.25">
      <c r="A16" s="74" t="s">
        <v>494</v>
      </c>
      <c r="B16" s="73">
        <v>73500</v>
      </c>
    </row>
    <row r="17" spans="1:2" x14ac:dyDescent="0.25">
      <c r="A17" s="70" t="s">
        <v>288</v>
      </c>
      <c r="B17" s="73">
        <v>1.86E+16</v>
      </c>
    </row>
    <row r="18" spans="1:2" x14ac:dyDescent="0.25">
      <c r="A18" s="74" t="s">
        <v>493</v>
      </c>
      <c r="B18" s="73">
        <v>1.86E+16</v>
      </c>
    </row>
    <row r="19" spans="1:2" x14ac:dyDescent="0.25">
      <c r="A19" s="70" t="s">
        <v>135</v>
      </c>
      <c r="B19" s="73">
        <v>1860000000</v>
      </c>
    </row>
    <row r="20" spans="1:2" x14ac:dyDescent="0.25">
      <c r="A20" s="74" t="s">
        <v>492</v>
      </c>
      <c r="B20" s="73">
        <v>930000000</v>
      </c>
    </row>
    <row r="21" spans="1:2" x14ac:dyDescent="0.25">
      <c r="A21" s="74" t="s">
        <v>493</v>
      </c>
      <c r="B21" s="73">
        <v>930000000</v>
      </c>
    </row>
    <row r="22" spans="1:2" x14ac:dyDescent="0.25">
      <c r="A22" s="70" t="s">
        <v>118</v>
      </c>
      <c r="B22" s="73">
        <v>1209000</v>
      </c>
    </row>
    <row r="23" spans="1:2" x14ac:dyDescent="0.25">
      <c r="A23" s="74" t="s">
        <v>492</v>
      </c>
      <c r="B23" s="73">
        <v>483600</v>
      </c>
    </row>
    <row r="24" spans="1:2" x14ac:dyDescent="0.25">
      <c r="A24" s="74" t="s">
        <v>493</v>
      </c>
      <c r="B24" s="73">
        <v>604500</v>
      </c>
    </row>
    <row r="25" spans="1:2" x14ac:dyDescent="0.25">
      <c r="A25" s="74" t="s">
        <v>494</v>
      </c>
      <c r="B25" s="73">
        <v>120900</v>
      </c>
    </row>
    <row r="26" spans="1:2" x14ac:dyDescent="0.25">
      <c r="A26" s="70" t="s">
        <v>283</v>
      </c>
      <c r="B26" s="73">
        <v>1.9E+16</v>
      </c>
    </row>
    <row r="27" spans="1:2" x14ac:dyDescent="0.25">
      <c r="A27" s="74" t="s">
        <v>492</v>
      </c>
      <c r="B27" s="73">
        <v>7600000000000000</v>
      </c>
    </row>
    <row r="28" spans="1:2" x14ac:dyDescent="0.25">
      <c r="A28" s="74" t="s">
        <v>493</v>
      </c>
      <c r="B28" s="73">
        <v>1.14E+16</v>
      </c>
    </row>
    <row r="29" spans="1:2" x14ac:dyDescent="0.25">
      <c r="A29" s="70" t="s">
        <v>109</v>
      </c>
      <c r="B29" s="73">
        <v>152000</v>
      </c>
    </row>
    <row r="30" spans="1:2" x14ac:dyDescent="0.25">
      <c r="A30" s="74" t="s">
        <v>493</v>
      </c>
      <c r="B30" s="73">
        <v>152000</v>
      </c>
    </row>
    <row r="31" spans="1:2" x14ac:dyDescent="0.25">
      <c r="A31" s="70" t="s">
        <v>491</v>
      </c>
      <c r="B31" s="73">
        <v>3.7600001867824E+16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4390-A550-410C-8E0A-AA256202E573}">
  <dimension ref="A2:B23"/>
  <sheetViews>
    <sheetView showGridLines="0" workbookViewId="0">
      <selection activeCell="E10" sqref="E10"/>
    </sheetView>
  </sheetViews>
  <sheetFormatPr defaultRowHeight="15" x14ac:dyDescent="0.25"/>
  <cols>
    <col min="1" max="1" width="20" bestFit="1" customWidth="1"/>
    <col min="2" max="2" width="29.140625" bestFit="1" customWidth="1"/>
  </cols>
  <sheetData>
    <row r="2" spans="1:2" ht="25.5" x14ac:dyDescent="0.35">
      <c r="A2" s="77" t="s">
        <v>499</v>
      </c>
    </row>
    <row r="3" spans="1:2" x14ac:dyDescent="0.25">
      <c r="A3" s="69" t="s">
        <v>490</v>
      </c>
      <c r="B3" t="s">
        <v>504</v>
      </c>
    </row>
    <row r="4" spans="1:2" x14ac:dyDescent="0.25">
      <c r="A4" s="70" t="s">
        <v>63</v>
      </c>
      <c r="B4" s="72">
        <v>10</v>
      </c>
    </row>
    <row r="5" spans="1:2" x14ac:dyDescent="0.25">
      <c r="A5" s="74" t="s">
        <v>112</v>
      </c>
      <c r="B5" s="72">
        <v>10</v>
      </c>
    </row>
    <row r="6" spans="1:2" x14ac:dyDescent="0.25">
      <c r="A6" s="70" t="s">
        <v>27</v>
      </c>
      <c r="B6" s="72">
        <v>20</v>
      </c>
    </row>
    <row r="7" spans="1:2" x14ac:dyDescent="0.25">
      <c r="A7" s="74" t="s">
        <v>112</v>
      </c>
      <c r="B7" s="72">
        <v>10</v>
      </c>
    </row>
    <row r="8" spans="1:2" x14ac:dyDescent="0.25">
      <c r="A8" s="74" t="s">
        <v>135</v>
      </c>
      <c r="B8" s="72">
        <v>10</v>
      </c>
    </row>
    <row r="9" spans="1:2" x14ac:dyDescent="0.25">
      <c r="A9" s="70" t="s">
        <v>21</v>
      </c>
      <c r="B9" s="72">
        <v>20</v>
      </c>
    </row>
    <row r="10" spans="1:2" x14ac:dyDescent="0.25">
      <c r="A10" s="74" t="s">
        <v>100</v>
      </c>
      <c r="B10" s="72">
        <v>10</v>
      </c>
    </row>
    <row r="11" spans="1:2" x14ac:dyDescent="0.25">
      <c r="A11" s="74" t="s">
        <v>97</v>
      </c>
      <c r="B11" s="72">
        <v>10</v>
      </c>
    </row>
    <row r="12" spans="1:2" x14ac:dyDescent="0.25">
      <c r="A12" s="70" t="s">
        <v>32</v>
      </c>
      <c r="B12" s="72">
        <v>10</v>
      </c>
    </row>
    <row r="13" spans="1:2" x14ac:dyDescent="0.25">
      <c r="A13" s="74" t="s">
        <v>118</v>
      </c>
      <c r="B13" s="72">
        <v>10</v>
      </c>
    </row>
    <row r="14" spans="1:2" x14ac:dyDescent="0.25">
      <c r="A14" s="70" t="s">
        <v>58</v>
      </c>
      <c r="B14" s="72">
        <v>20</v>
      </c>
    </row>
    <row r="15" spans="1:2" x14ac:dyDescent="0.25">
      <c r="A15" s="74" t="s">
        <v>115</v>
      </c>
      <c r="B15" s="72">
        <v>10</v>
      </c>
    </row>
    <row r="16" spans="1:2" x14ac:dyDescent="0.25">
      <c r="A16" s="74" t="s">
        <v>288</v>
      </c>
      <c r="B16" s="72">
        <v>10</v>
      </c>
    </row>
    <row r="17" spans="1:2" x14ac:dyDescent="0.25">
      <c r="A17" s="70" t="s">
        <v>36</v>
      </c>
      <c r="B17" s="72">
        <v>10</v>
      </c>
    </row>
    <row r="18" spans="1:2" x14ac:dyDescent="0.25">
      <c r="A18" s="74" t="s">
        <v>283</v>
      </c>
      <c r="B18" s="72">
        <v>10</v>
      </c>
    </row>
    <row r="19" spans="1:2" x14ac:dyDescent="0.25">
      <c r="A19" s="70" t="s">
        <v>45</v>
      </c>
      <c r="B19" s="72">
        <v>10</v>
      </c>
    </row>
    <row r="20" spans="1:2" x14ac:dyDescent="0.25">
      <c r="A20" s="74" t="s">
        <v>100</v>
      </c>
      <c r="B20" s="72">
        <v>10</v>
      </c>
    </row>
    <row r="21" spans="1:2" x14ac:dyDescent="0.25">
      <c r="A21" s="70" t="s">
        <v>485</v>
      </c>
      <c r="B21" s="72">
        <v>1</v>
      </c>
    </row>
    <row r="22" spans="1:2" x14ac:dyDescent="0.25">
      <c r="A22" s="74" t="s">
        <v>109</v>
      </c>
      <c r="B22" s="72">
        <v>1</v>
      </c>
    </row>
    <row r="23" spans="1:2" x14ac:dyDescent="0.25">
      <c r="A23" s="70" t="s">
        <v>491</v>
      </c>
      <c r="B23" s="72">
        <v>101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3F588-7A85-4E96-8525-9C06AD775197}">
  <dimension ref="A2:B35"/>
  <sheetViews>
    <sheetView showGridLines="0" workbookViewId="0">
      <selection activeCell="A5" sqref="A5"/>
    </sheetView>
  </sheetViews>
  <sheetFormatPr defaultRowHeight="15" x14ac:dyDescent="0.25"/>
  <cols>
    <col min="1" max="1" width="19.140625" bestFit="1" customWidth="1"/>
    <col min="2" max="2" width="18.7109375" bestFit="1" customWidth="1"/>
  </cols>
  <sheetData>
    <row r="2" spans="1:2" ht="25.5" x14ac:dyDescent="0.35">
      <c r="A2" s="77" t="s">
        <v>500</v>
      </c>
    </row>
    <row r="3" spans="1:2" x14ac:dyDescent="0.25">
      <c r="A3" s="69" t="s">
        <v>490</v>
      </c>
      <c r="B3" t="s">
        <v>501</v>
      </c>
    </row>
    <row r="4" spans="1:2" x14ac:dyDescent="0.25">
      <c r="A4" s="70" t="s">
        <v>100</v>
      </c>
      <c r="B4" s="72">
        <v>20</v>
      </c>
    </row>
    <row r="5" spans="1:2" x14ac:dyDescent="0.25">
      <c r="A5" s="74" t="s">
        <v>276</v>
      </c>
      <c r="B5" s="72">
        <v>10</v>
      </c>
    </row>
    <row r="6" spans="1:2" x14ac:dyDescent="0.25">
      <c r="A6" s="71" t="s">
        <v>276</v>
      </c>
      <c r="B6" s="72">
        <v>10</v>
      </c>
    </row>
    <row r="7" spans="1:2" x14ac:dyDescent="0.25">
      <c r="A7" s="74" t="s">
        <v>234</v>
      </c>
      <c r="B7" s="72">
        <v>10</v>
      </c>
    </row>
    <row r="8" spans="1:2" x14ac:dyDescent="0.25">
      <c r="A8" s="71" t="s">
        <v>234</v>
      </c>
      <c r="B8" s="72">
        <v>10</v>
      </c>
    </row>
    <row r="9" spans="1:2" x14ac:dyDescent="0.25">
      <c r="A9" s="70" t="s">
        <v>112</v>
      </c>
      <c r="B9" s="72">
        <v>20</v>
      </c>
    </row>
    <row r="10" spans="1:2" x14ac:dyDescent="0.25">
      <c r="A10" s="74" t="s">
        <v>257</v>
      </c>
      <c r="B10" s="72">
        <v>10</v>
      </c>
    </row>
    <row r="11" spans="1:2" x14ac:dyDescent="0.25">
      <c r="A11" s="71" t="s">
        <v>257</v>
      </c>
      <c r="B11" s="72">
        <v>10</v>
      </c>
    </row>
    <row r="12" spans="1:2" x14ac:dyDescent="0.25">
      <c r="A12" s="74" t="s">
        <v>140</v>
      </c>
      <c r="B12" s="72">
        <v>10</v>
      </c>
    </row>
    <row r="13" spans="1:2" x14ac:dyDescent="0.25">
      <c r="A13" s="71" t="s">
        <v>140</v>
      </c>
      <c r="B13" s="72">
        <v>10</v>
      </c>
    </row>
    <row r="14" spans="1:2" x14ac:dyDescent="0.25">
      <c r="A14" s="70" t="s">
        <v>97</v>
      </c>
      <c r="B14" s="72">
        <v>10</v>
      </c>
    </row>
    <row r="15" spans="1:2" x14ac:dyDescent="0.25">
      <c r="A15" s="74" t="s">
        <v>145</v>
      </c>
      <c r="B15" s="72">
        <v>10</v>
      </c>
    </row>
    <row r="16" spans="1:2" x14ac:dyDescent="0.25">
      <c r="A16" s="71" t="s">
        <v>145</v>
      </c>
      <c r="B16" s="72">
        <v>10</v>
      </c>
    </row>
    <row r="17" spans="1:2" x14ac:dyDescent="0.25">
      <c r="A17" s="70" t="s">
        <v>115</v>
      </c>
      <c r="B17" s="72">
        <v>10</v>
      </c>
    </row>
    <row r="18" spans="1:2" x14ac:dyDescent="0.25">
      <c r="A18" s="74" t="s">
        <v>139</v>
      </c>
      <c r="B18" s="72">
        <v>10</v>
      </c>
    </row>
    <row r="19" spans="1:2" x14ac:dyDescent="0.25">
      <c r="A19" s="71" t="s">
        <v>139</v>
      </c>
      <c r="B19" s="72">
        <v>10</v>
      </c>
    </row>
    <row r="20" spans="1:2" x14ac:dyDescent="0.25">
      <c r="A20" s="70" t="s">
        <v>288</v>
      </c>
      <c r="B20" s="72">
        <v>10</v>
      </c>
    </row>
    <row r="21" spans="1:2" x14ac:dyDescent="0.25">
      <c r="A21" s="74" t="s">
        <v>208</v>
      </c>
      <c r="B21" s="72">
        <v>10</v>
      </c>
    </row>
    <row r="22" spans="1:2" x14ac:dyDescent="0.25">
      <c r="A22" s="71" t="s">
        <v>208</v>
      </c>
      <c r="B22" s="72">
        <v>10</v>
      </c>
    </row>
    <row r="23" spans="1:2" x14ac:dyDescent="0.25">
      <c r="A23" s="70" t="s">
        <v>135</v>
      </c>
      <c r="B23" s="72">
        <v>10</v>
      </c>
    </row>
    <row r="24" spans="1:2" x14ac:dyDescent="0.25">
      <c r="A24" s="74">
        <v>1234</v>
      </c>
      <c r="B24" s="72">
        <v>10</v>
      </c>
    </row>
    <row r="25" spans="1:2" x14ac:dyDescent="0.25">
      <c r="A25" s="71">
        <v>1234</v>
      </c>
      <c r="B25" s="72">
        <v>10</v>
      </c>
    </row>
    <row r="26" spans="1:2" x14ac:dyDescent="0.25">
      <c r="A26" s="70" t="s">
        <v>118</v>
      </c>
      <c r="B26" s="72">
        <v>10</v>
      </c>
    </row>
    <row r="27" spans="1:2" x14ac:dyDescent="0.25">
      <c r="A27" s="74" t="s">
        <v>138</v>
      </c>
      <c r="B27" s="72">
        <v>10</v>
      </c>
    </row>
    <row r="28" spans="1:2" x14ac:dyDescent="0.25">
      <c r="A28" s="71" t="s">
        <v>138</v>
      </c>
      <c r="B28" s="72">
        <v>10</v>
      </c>
    </row>
    <row r="29" spans="1:2" x14ac:dyDescent="0.25">
      <c r="A29" s="70" t="s">
        <v>283</v>
      </c>
      <c r="B29" s="72">
        <v>10</v>
      </c>
    </row>
    <row r="30" spans="1:2" x14ac:dyDescent="0.25">
      <c r="A30" s="74" t="s">
        <v>194</v>
      </c>
      <c r="B30" s="72">
        <v>10</v>
      </c>
    </row>
    <row r="31" spans="1:2" x14ac:dyDescent="0.25">
      <c r="A31" s="71" t="s">
        <v>194</v>
      </c>
      <c r="B31" s="72">
        <v>10</v>
      </c>
    </row>
    <row r="32" spans="1:2" x14ac:dyDescent="0.25">
      <c r="A32" s="70" t="s">
        <v>109</v>
      </c>
      <c r="B32" s="72">
        <v>1</v>
      </c>
    </row>
    <row r="33" spans="1:2" x14ac:dyDescent="0.25">
      <c r="A33" s="74" t="s">
        <v>141</v>
      </c>
      <c r="B33" s="72">
        <v>1</v>
      </c>
    </row>
    <row r="34" spans="1:2" x14ac:dyDescent="0.25">
      <c r="A34" s="71" t="s">
        <v>141</v>
      </c>
      <c r="B34" s="72">
        <v>1</v>
      </c>
    </row>
    <row r="35" spans="1:2" x14ac:dyDescent="0.25">
      <c r="A35" s="70" t="s">
        <v>491</v>
      </c>
      <c r="B35" s="72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AEEF5-117E-4175-B4FA-9B30532FCA65}">
  <dimension ref="A2:B8"/>
  <sheetViews>
    <sheetView showGridLines="0" workbookViewId="0">
      <selection activeCell="B1" sqref="B1:B1048576"/>
    </sheetView>
  </sheetViews>
  <sheetFormatPr defaultRowHeight="15" x14ac:dyDescent="0.25"/>
  <cols>
    <col min="1" max="1" width="19.7109375" bestFit="1" customWidth="1"/>
    <col min="2" max="2" width="28" style="73" bestFit="1" customWidth="1"/>
  </cols>
  <sheetData>
    <row r="2" spans="1:2" ht="27.75" x14ac:dyDescent="0.4">
      <c r="A2" s="78" t="s">
        <v>502</v>
      </c>
    </row>
    <row r="3" spans="1:2" x14ac:dyDescent="0.25">
      <c r="A3" s="69" t="s">
        <v>490</v>
      </c>
      <c r="B3" s="73" t="s">
        <v>495</v>
      </c>
    </row>
    <row r="4" spans="1:2" x14ac:dyDescent="0.25">
      <c r="A4" s="70" t="s">
        <v>61</v>
      </c>
      <c r="B4" s="73">
        <v>1.8600000000735E+16</v>
      </c>
    </row>
    <row r="5" spans="1:2" x14ac:dyDescent="0.25">
      <c r="A5" s="70" t="s">
        <v>30</v>
      </c>
      <c r="B5" s="73">
        <v>1.9000001864523E+16</v>
      </c>
    </row>
    <row r="6" spans="1:2" x14ac:dyDescent="0.25">
      <c r="A6" s="70" t="s">
        <v>43</v>
      </c>
      <c r="B6" s="73">
        <v>2414000</v>
      </c>
    </row>
    <row r="7" spans="1:2" x14ac:dyDescent="0.25">
      <c r="A7" s="70" t="s">
        <v>488</v>
      </c>
      <c r="B7" s="73">
        <v>152000</v>
      </c>
    </row>
    <row r="8" spans="1:2" x14ac:dyDescent="0.25">
      <c r="A8" s="70" t="s">
        <v>491</v>
      </c>
      <c r="B8" s="73">
        <v>3.7600001867824E+16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9821-8147-49DF-8A6F-7C1184FB1E0F}">
  <dimension ref="A2:A18"/>
  <sheetViews>
    <sheetView showGridLines="0" workbookViewId="0">
      <selection activeCell="A4" sqref="A4"/>
    </sheetView>
  </sheetViews>
  <sheetFormatPr defaultRowHeight="15" x14ac:dyDescent="0.25"/>
  <cols>
    <col min="1" max="1" width="23" bestFit="1" customWidth="1"/>
  </cols>
  <sheetData>
    <row r="2" spans="1:1" ht="25.5" x14ac:dyDescent="0.35">
      <c r="A2" s="77" t="s">
        <v>503</v>
      </c>
    </row>
    <row r="3" spans="1:1" x14ac:dyDescent="0.25">
      <c r="A3" s="69" t="s">
        <v>490</v>
      </c>
    </row>
    <row r="4" spans="1:1" x14ac:dyDescent="0.25">
      <c r="A4" s="70" t="s">
        <v>494</v>
      </c>
    </row>
    <row r="5" spans="1:1" x14ac:dyDescent="0.25">
      <c r="A5" s="79" t="s">
        <v>513</v>
      </c>
    </row>
    <row r="6" spans="1:1" x14ac:dyDescent="0.25">
      <c r="A6" s="71" t="s">
        <v>112</v>
      </c>
    </row>
    <row r="7" spans="1:1" x14ac:dyDescent="0.25">
      <c r="A7" s="80" t="s">
        <v>140</v>
      </c>
    </row>
    <row r="8" spans="1:1" x14ac:dyDescent="0.25">
      <c r="A8" s="81" t="s">
        <v>140</v>
      </c>
    </row>
    <row r="9" spans="1:1" x14ac:dyDescent="0.25">
      <c r="A9" s="71" t="s">
        <v>118</v>
      </c>
    </row>
    <row r="10" spans="1:1" x14ac:dyDescent="0.25">
      <c r="A10" s="80" t="s">
        <v>138</v>
      </c>
    </row>
    <row r="11" spans="1:1" x14ac:dyDescent="0.25">
      <c r="A11" s="81" t="s">
        <v>138</v>
      </c>
    </row>
    <row r="12" spans="1:1" x14ac:dyDescent="0.25">
      <c r="A12" s="79" t="s">
        <v>514</v>
      </c>
    </row>
    <row r="13" spans="1:1" x14ac:dyDescent="0.25">
      <c r="A13" s="71" t="s">
        <v>115</v>
      </c>
    </row>
    <row r="14" spans="1:1" x14ac:dyDescent="0.25">
      <c r="A14" s="80" t="s">
        <v>139</v>
      </c>
    </row>
    <row r="15" spans="1:1" x14ac:dyDescent="0.25">
      <c r="A15" s="81" t="s">
        <v>139</v>
      </c>
    </row>
    <row r="16" spans="1:1" x14ac:dyDescent="0.25">
      <c r="A16" s="70" t="s">
        <v>493</v>
      </c>
    </row>
    <row r="17" spans="1:1" x14ac:dyDescent="0.25">
      <c r="A17" s="70" t="s">
        <v>492</v>
      </c>
    </row>
    <row r="18" spans="1:1" x14ac:dyDescent="0.25">
      <c r="A18" s="70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FFEAF-BFAC-4537-A33F-76CF530547AB}">
  <dimension ref="A2:B20"/>
  <sheetViews>
    <sheetView showGridLines="0" workbookViewId="0">
      <selection activeCell="A2" sqref="A2"/>
    </sheetView>
  </sheetViews>
  <sheetFormatPr defaultRowHeight="15" x14ac:dyDescent="0.25"/>
  <cols>
    <col min="1" max="1" width="21.42578125" bestFit="1" customWidth="1"/>
    <col min="2" max="2" width="23" bestFit="1" customWidth="1"/>
  </cols>
  <sheetData>
    <row r="2" spans="1:2" ht="25.5" x14ac:dyDescent="0.35">
      <c r="A2" s="77" t="s">
        <v>508</v>
      </c>
    </row>
    <row r="3" spans="1:2" x14ac:dyDescent="0.25">
      <c r="A3" s="69" t="s">
        <v>490</v>
      </c>
      <c r="B3" t="s">
        <v>498</v>
      </c>
    </row>
    <row r="4" spans="1:2" x14ac:dyDescent="0.25">
      <c r="A4" s="70" t="s">
        <v>91</v>
      </c>
      <c r="B4" s="72">
        <v>11</v>
      </c>
    </row>
    <row r="5" spans="1:2" x14ac:dyDescent="0.25">
      <c r="A5" s="74" t="s">
        <v>138</v>
      </c>
      <c r="B5" s="72">
        <v>10</v>
      </c>
    </row>
    <row r="6" spans="1:2" x14ac:dyDescent="0.25">
      <c r="A6" s="74" t="s">
        <v>141</v>
      </c>
      <c r="B6" s="72">
        <v>1</v>
      </c>
    </row>
    <row r="7" spans="1:2" x14ac:dyDescent="0.25">
      <c r="A7" s="70" t="s">
        <v>73</v>
      </c>
      <c r="B7" s="72">
        <v>20</v>
      </c>
    </row>
    <row r="8" spans="1:2" x14ac:dyDescent="0.25">
      <c r="A8" s="74" t="s">
        <v>276</v>
      </c>
      <c r="B8" s="72">
        <v>10</v>
      </c>
    </row>
    <row r="9" spans="1:2" x14ac:dyDescent="0.25">
      <c r="A9" s="74" t="s">
        <v>145</v>
      </c>
      <c r="B9" s="72">
        <v>10</v>
      </c>
    </row>
    <row r="10" spans="1:2" x14ac:dyDescent="0.25">
      <c r="A10" s="70" t="s">
        <v>85</v>
      </c>
      <c r="B10" s="72">
        <v>20</v>
      </c>
    </row>
    <row r="11" spans="1:2" x14ac:dyDescent="0.25">
      <c r="A11" s="74">
        <v>1234</v>
      </c>
      <c r="B11" s="72">
        <v>10</v>
      </c>
    </row>
    <row r="12" spans="1:2" x14ac:dyDescent="0.25">
      <c r="A12" s="74" t="s">
        <v>208</v>
      </c>
      <c r="B12" s="72">
        <v>10</v>
      </c>
    </row>
    <row r="13" spans="1:2" x14ac:dyDescent="0.25">
      <c r="A13" s="70" t="s">
        <v>88</v>
      </c>
      <c r="B13" s="72">
        <v>30</v>
      </c>
    </row>
    <row r="14" spans="1:2" x14ac:dyDescent="0.25">
      <c r="A14" s="74" t="s">
        <v>257</v>
      </c>
      <c r="B14" s="72">
        <v>10</v>
      </c>
    </row>
    <row r="15" spans="1:2" x14ac:dyDescent="0.25">
      <c r="A15" s="74" t="s">
        <v>140</v>
      </c>
      <c r="B15" s="72">
        <v>10</v>
      </c>
    </row>
    <row r="16" spans="1:2" x14ac:dyDescent="0.25">
      <c r="A16" s="74" t="s">
        <v>234</v>
      </c>
      <c r="B16" s="72">
        <v>10</v>
      </c>
    </row>
    <row r="17" spans="1:2" x14ac:dyDescent="0.25">
      <c r="A17" s="70" t="s">
        <v>79</v>
      </c>
      <c r="B17" s="72">
        <v>20</v>
      </c>
    </row>
    <row r="18" spans="1:2" x14ac:dyDescent="0.25">
      <c r="A18" s="74" t="s">
        <v>139</v>
      </c>
      <c r="B18" s="72">
        <v>10</v>
      </c>
    </row>
    <row r="19" spans="1:2" x14ac:dyDescent="0.25">
      <c r="A19" s="74" t="s">
        <v>194</v>
      </c>
      <c r="B19" s="72">
        <v>10</v>
      </c>
    </row>
    <row r="20" spans="1:2" x14ac:dyDescent="0.25">
      <c r="A20" s="70" t="s">
        <v>491</v>
      </c>
      <c r="B20" s="72">
        <v>101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58B99-71BA-4F6B-B470-E12421CE40E8}">
  <dimension ref="A2:B24"/>
  <sheetViews>
    <sheetView showGridLines="0" workbookViewId="0">
      <selection activeCell="B1" sqref="B1:B1048576"/>
    </sheetView>
  </sheetViews>
  <sheetFormatPr defaultRowHeight="15" x14ac:dyDescent="0.25"/>
  <cols>
    <col min="1" max="1" width="18" bestFit="1" customWidth="1"/>
    <col min="2" max="2" width="27" style="73" bestFit="1" customWidth="1"/>
  </cols>
  <sheetData>
    <row r="2" spans="1:2" ht="25.5" x14ac:dyDescent="0.35">
      <c r="A2" s="77" t="s">
        <v>506</v>
      </c>
    </row>
    <row r="3" spans="1:2" x14ac:dyDescent="0.25">
      <c r="A3" s="69" t="s">
        <v>490</v>
      </c>
      <c r="B3" s="73" t="s">
        <v>507</v>
      </c>
    </row>
    <row r="4" spans="1:2" x14ac:dyDescent="0.25">
      <c r="A4" s="70" t="s">
        <v>100</v>
      </c>
      <c r="B4" s="73">
        <v>83300</v>
      </c>
    </row>
    <row r="5" spans="1:2" x14ac:dyDescent="0.25">
      <c r="A5" s="74" t="s">
        <v>276</v>
      </c>
      <c r="B5" s="73">
        <v>83300</v>
      </c>
    </row>
    <row r="6" spans="1:2" x14ac:dyDescent="0.25">
      <c r="A6" s="74" t="s">
        <v>234</v>
      </c>
      <c r="B6" s="73">
        <v>83300</v>
      </c>
    </row>
    <row r="7" spans="1:2" x14ac:dyDescent="0.25">
      <c r="A7" s="70" t="s">
        <v>112</v>
      </c>
      <c r="B7" s="73">
        <v>158100</v>
      </c>
    </row>
    <row r="8" spans="1:2" x14ac:dyDescent="0.25">
      <c r="A8" s="74" t="s">
        <v>257</v>
      </c>
      <c r="B8" s="73">
        <v>158100</v>
      </c>
    </row>
    <row r="9" spans="1:2" x14ac:dyDescent="0.25">
      <c r="A9" s="74" t="s">
        <v>140</v>
      </c>
      <c r="B9" s="73">
        <v>158100</v>
      </c>
    </row>
    <row r="10" spans="1:2" x14ac:dyDescent="0.25">
      <c r="A10" s="70" t="s">
        <v>97</v>
      </c>
      <c r="B10" s="73">
        <v>90000</v>
      </c>
    </row>
    <row r="11" spans="1:2" x14ac:dyDescent="0.25">
      <c r="A11" s="74" t="s">
        <v>145</v>
      </c>
      <c r="B11" s="73">
        <v>90000</v>
      </c>
    </row>
    <row r="12" spans="1:2" x14ac:dyDescent="0.25">
      <c r="A12" s="70" t="s">
        <v>115</v>
      </c>
      <c r="B12" s="73">
        <v>73500</v>
      </c>
    </row>
    <row r="13" spans="1:2" x14ac:dyDescent="0.25">
      <c r="A13" s="74" t="s">
        <v>139</v>
      </c>
      <c r="B13" s="73">
        <v>73500</v>
      </c>
    </row>
    <row r="14" spans="1:2" x14ac:dyDescent="0.25">
      <c r="A14" s="70" t="s">
        <v>288</v>
      </c>
      <c r="B14" s="73">
        <v>1860000000000000</v>
      </c>
    </row>
    <row r="15" spans="1:2" x14ac:dyDescent="0.25">
      <c r="A15" s="74" t="s">
        <v>208</v>
      </c>
      <c r="B15" s="73">
        <v>1860000000000000</v>
      </c>
    </row>
    <row r="16" spans="1:2" x14ac:dyDescent="0.25">
      <c r="A16" s="70" t="s">
        <v>135</v>
      </c>
      <c r="B16" s="73">
        <v>186000000</v>
      </c>
    </row>
    <row r="17" spans="1:2" x14ac:dyDescent="0.25">
      <c r="A17" s="74">
        <v>1234</v>
      </c>
      <c r="B17" s="73">
        <v>186000000</v>
      </c>
    </row>
    <row r="18" spans="1:2" x14ac:dyDescent="0.25">
      <c r="A18" s="70" t="s">
        <v>118</v>
      </c>
      <c r="B18" s="73">
        <v>120900</v>
      </c>
    </row>
    <row r="19" spans="1:2" x14ac:dyDescent="0.25">
      <c r="A19" s="74" t="s">
        <v>138</v>
      </c>
      <c r="B19" s="73">
        <v>120900</v>
      </c>
    </row>
    <row r="20" spans="1:2" x14ac:dyDescent="0.25">
      <c r="A20" s="70" t="s">
        <v>283</v>
      </c>
      <c r="B20" s="73">
        <v>1900000000000000</v>
      </c>
    </row>
    <row r="21" spans="1:2" x14ac:dyDescent="0.25">
      <c r="A21" s="74" t="s">
        <v>194</v>
      </c>
      <c r="B21" s="73">
        <v>1900000000000000</v>
      </c>
    </row>
    <row r="22" spans="1:2" x14ac:dyDescent="0.25">
      <c r="A22" s="70" t="s">
        <v>109</v>
      </c>
      <c r="B22" s="73">
        <v>152000</v>
      </c>
    </row>
    <row r="23" spans="1:2" x14ac:dyDescent="0.25">
      <c r="A23" s="74" t="s">
        <v>141</v>
      </c>
      <c r="B23" s="73">
        <v>152000</v>
      </c>
    </row>
    <row r="24" spans="1:2" x14ac:dyDescent="0.25">
      <c r="A24" s="70" t="s">
        <v>491</v>
      </c>
      <c r="B24" s="73">
        <v>372277246216079.19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25B8-98AB-4CC3-B914-6037505191DA}">
  <dimension ref="A2:B16"/>
  <sheetViews>
    <sheetView showGridLines="0" workbookViewId="0">
      <selection activeCell="A2" sqref="A2"/>
    </sheetView>
  </sheetViews>
  <sheetFormatPr defaultRowHeight="15" x14ac:dyDescent="0.25"/>
  <cols>
    <col min="1" max="1" width="21.85546875" bestFit="1" customWidth="1"/>
    <col min="2" max="2" width="20.85546875" bestFit="1" customWidth="1"/>
  </cols>
  <sheetData>
    <row r="2" spans="1:2" ht="25.5" x14ac:dyDescent="0.35">
      <c r="A2" s="77" t="s">
        <v>509</v>
      </c>
    </row>
    <row r="3" spans="1:2" x14ac:dyDescent="0.25">
      <c r="A3" s="69" t="s">
        <v>490</v>
      </c>
      <c r="B3" t="s">
        <v>510</v>
      </c>
    </row>
    <row r="4" spans="1:2" x14ac:dyDescent="0.25">
      <c r="A4" s="70" t="s">
        <v>61</v>
      </c>
      <c r="B4" s="72">
        <v>20</v>
      </c>
    </row>
    <row r="5" spans="1:2" x14ac:dyDescent="0.25">
      <c r="A5" s="74" t="s">
        <v>58</v>
      </c>
      <c r="B5" s="72">
        <v>20</v>
      </c>
    </row>
    <row r="6" spans="1:2" x14ac:dyDescent="0.25">
      <c r="A6" s="70" t="s">
        <v>30</v>
      </c>
      <c r="B6" s="72">
        <v>60</v>
      </c>
    </row>
    <row r="7" spans="1:2" x14ac:dyDescent="0.25">
      <c r="A7" s="74" t="s">
        <v>27</v>
      </c>
      <c r="B7" s="72">
        <v>20</v>
      </c>
    </row>
    <row r="8" spans="1:2" x14ac:dyDescent="0.25">
      <c r="A8" s="74" t="s">
        <v>21</v>
      </c>
      <c r="B8" s="72">
        <v>20</v>
      </c>
    </row>
    <row r="9" spans="1:2" x14ac:dyDescent="0.25">
      <c r="A9" s="74" t="s">
        <v>32</v>
      </c>
      <c r="B9" s="72">
        <v>10</v>
      </c>
    </row>
    <row r="10" spans="1:2" x14ac:dyDescent="0.25">
      <c r="A10" s="74" t="s">
        <v>36</v>
      </c>
      <c r="B10" s="72">
        <v>10</v>
      </c>
    </row>
    <row r="11" spans="1:2" x14ac:dyDescent="0.25">
      <c r="A11" s="70" t="s">
        <v>43</v>
      </c>
      <c r="B11" s="72">
        <v>20</v>
      </c>
    </row>
    <row r="12" spans="1:2" x14ac:dyDescent="0.25">
      <c r="A12" s="74" t="s">
        <v>63</v>
      </c>
      <c r="B12" s="72">
        <v>10</v>
      </c>
    </row>
    <row r="13" spans="1:2" x14ac:dyDescent="0.25">
      <c r="A13" s="74" t="s">
        <v>45</v>
      </c>
      <c r="B13" s="72">
        <v>10</v>
      </c>
    </row>
    <row r="14" spans="1:2" x14ac:dyDescent="0.25">
      <c r="A14" s="70" t="s">
        <v>488</v>
      </c>
      <c r="B14" s="72">
        <v>1</v>
      </c>
    </row>
    <row r="15" spans="1:2" x14ac:dyDescent="0.25">
      <c r="A15" s="74" t="s">
        <v>485</v>
      </c>
      <c r="B15" s="72">
        <v>1</v>
      </c>
    </row>
    <row r="16" spans="1:2" x14ac:dyDescent="0.25">
      <c r="A16" s="70" t="s">
        <v>491</v>
      </c>
      <c r="B16" s="72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CEC1F-72D3-4364-9C20-9A4CF13BC69C}">
  <dimension ref="A2:B7"/>
  <sheetViews>
    <sheetView showGridLines="0" workbookViewId="0">
      <selection activeCell="B7" sqref="B7"/>
    </sheetView>
  </sheetViews>
  <sheetFormatPr defaultRowHeight="15" x14ac:dyDescent="0.25"/>
  <cols>
    <col min="1" max="1" width="18" bestFit="1" customWidth="1"/>
    <col min="2" max="2" width="20" bestFit="1" customWidth="1"/>
  </cols>
  <sheetData>
    <row r="2" spans="1:2" ht="25.5" x14ac:dyDescent="0.35">
      <c r="A2" s="77" t="s">
        <v>511</v>
      </c>
    </row>
    <row r="3" spans="1:2" x14ac:dyDescent="0.25">
      <c r="A3" s="69" t="s">
        <v>490</v>
      </c>
      <c r="B3" t="s">
        <v>512</v>
      </c>
    </row>
    <row r="4" spans="1:2" x14ac:dyDescent="0.25">
      <c r="A4" s="70" t="s">
        <v>157</v>
      </c>
      <c r="B4" s="72">
        <v>75</v>
      </c>
    </row>
    <row r="5" spans="1:2" x14ac:dyDescent="0.25">
      <c r="A5" s="70" t="s">
        <v>152</v>
      </c>
      <c r="B5" s="72">
        <v>20</v>
      </c>
    </row>
    <row r="6" spans="1:2" x14ac:dyDescent="0.25">
      <c r="A6" s="70" t="s">
        <v>156</v>
      </c>
      <c r="B6" s="72">
        <v>6</v>
      </c>
    </row>
    <row r="7" spans="1:2" x14ac:dyDescent="0.25">
      <c r="A7" s="70" t="s">
        <v>491</v>
      </c>
      <c r="B7" s="72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5D10-7EE2-4848-A66F-FED54DBBA2AE}">
  <dimension ref="A2:B7"/>
  <sheetViews>
    <sheetView showGridLines="0" workbookViewId="0">
      <selection activeCell="G12" sqref="G12"/>
    </sheetView>
  </sheetViews>
  <sheetFormatPr defaultRowHeight="15" x14ac:dyDescent="0.25"/>
  <cols>
    <col min="1" max="1" width="18" bestFit="1" customWidth="1"/>
    <col min="2" max="2" width="25.28515625" style="73" bestFit="1" customWidth="1"/>
  </cols>
  <sheetData>
    <row r="2" spans="1:2" x14ac:dyDescent="0.25">
      <c r="A2" t="s">
        <v>515</v>
      </c>
    </row>
    <row r="3" spans="1:2" x14ac:dyDescent="0.25">
      <c r="A3" s="69" t="s">
        <v>490</v>
      </c>
      <c r="B3" s="73" t="s">
        <v>507</v>
      </c>
    </row>
    <row r="4" spans="1:2" x14ac:dyDescent="0.25">
      <c r="A4" s="70" t="s">
        <v>492</v>
      </c>
      <c r="B4" s="73">
        <v>292307728148461.56</v>
      </c>
    </row>
    <row r="5" spans="1:2" x14ac:dyDescent="0.25">
      <c r="A5" s="70" t="s">
        <v>493</v>
      </c>
      <c r="B5" s="73">
        <v>416666679661270.81</v>
      </c>
    </row>
    <row r="6" spans="1:2" x14ac:dyDescent="0.25">
      <c r="A6" s="70" t="s">
        <v>494</v>
      </c>
      <c r="B6" s="73">
        <v>117500</v>
      </c>
    </row>
    <row r="7" spans="1:2" x14ac:dyDescent="0.25">
      <c r="A7" s="70" t="s">
        <v>491</v>
      </c>
      <c r="B7" s="73">
        <v>372277246216079.19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728D0-2650-4DBF-9F0D-2E374F455957}">
  <dimension ref="A2:B15"/>
  <sheetViews>
    <sheetView showGridLines="0" workbookViewId="0">
      <selection activeCell="F17" sqref="F17"/>
    </sheetView>
  </sheetViews>
  <sheetFormatPr defaultRowHeight="15" x14ac:dyDescent="0.25"/>
  <cols>
    <col min="1" max="1" width="18" bestFit="1" customWidth="1"/>
    <col min="2" max="2" width="20.42578125" bestFit="1" customWidth="1"/>
  </cols>
  <sheetData>
    <row r="2" spans="1:2" ht="27.75" x14ac:dyDescent="0.4">
      <c r="A2" s="78" t="s">
        <v>517</v>
      </c>
    </row>
    <row r="3" spans="1:2" x14ac:dyDescent="0.25">
      <c r="A3" s="69" t="s">
        <v>518</v>
      </c>
      <c r="B3" t="s">
        <v>519</v>
      </c>
    </row>
    <row r="4" spans="1:2" x14ac:dyDescent="0.25">
      <c r="A4" s="70">
        <v>1234</v>
      </c>
      <c r="B4" s="72">
        <v>10</v>
      </c>
    </row>
    <row r="5" spans="1:2" x14ac:dyDescent="0.25">
      <c r="A5" s="70" t="s">
        <v>276</v>
      </c>
      <c r="B5" s="72">
        <v>10</v>
      </c>
    </row>
    <row r="6" spans="1:2" x14ac:dyDescent="0.25">
      <c r="A6" s="70" t="s">
        <v>139</v>
      </c>
      <c r="B6" s="72">
        <v>10</v>
      </c>
    </row>
    <row r="7" spans="1:2" x14ac:dyDescent="0.25">
      <c r="A7" s="70" t="s">
        <v>138</v>
      </c>
      <c r="B7" s="72">
        <v>10</v>
      </c>
    </row>
    <row r="8" spans="1:2" x14ac:dyDescent="0.25">
      <c r="A8" s="70" t="s">
        <v>194</v>
      </c>
      <c r="B8" s="72">
        <v>10</v>
      </c>
    </row>
    <row r="9" spans="1:2" x14ac:dyDescent="0.25">
      <c r="A9" s="70" t="s">
        <v>257</v>
      </c>
      <c r="B9" s="72">
        <v>10</v>
      </c>
    </row>
    <row r="10" spans="1:2" x14ac:dyDescent="0.25">
      <c r="A10" s="70" t="s">
        <v>208</v>
      </c>
      <c r="B10" s="72">
        <v>10</v>
      </c>
    </row>
    <row r="11" spans="1:2" x14ac:dyDescent="0.25">
      <c r="A11" s="70" t="s">
        <v>145</v>
      </c>
      <c r="B11" s="72">
        <v>10</v>
      </c>
    </row>
    <row r="12" spans="1:2" x14ac:dyDescent="0.25">
      <c r="A12" s="70" t="s">
        <v>141</v>
      </c>
      <c r="B12" s="72">
        <v>1</v>
      </c>
    </row>
    <row r="13" spans="1:2" x14ac:dyDescent="0.25">
      <c r="A13" s="70" t="s">
        <v>140</v>
      </c>
      <c r="B13" s="72">
        <v>10</v>
      </c>
    </row>
    <row r="14" spans="1:2" x14ac:dyDescent="0.25">
      <c r="A14" s="70" t="s">
        <v>234</v>
      </c>
      <c r="B14" s="72">
        <v>10</v>
      </c>
    </row>
    <row r="15" spans="1:2" x14ac:dyDescent="0.25">
      <c r="A15" s="70" t="s">
        <v>491</v>
      </c>
      <c r="B15" s="72">
        <v>101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99418-16D6-4D21-8B79-3ABE19D534BF}">
  <dimension ref="A2:L7"/>
  <sheetViews>
    <sheetView showGridLines="0" workbookViewId="0">
      <selection activeCell="I19" sqref="I19"/>
    </sheetView>
  </sheetViews>
  <sheetFormatPr defaultRowHeight="15" x14ac:dyDescent="0.25"/>
  <cols>
    <col min="1" max="1" width="10.7109375" bestFit="1" customWidth="1"/>
    <col min="10" max="11" width="18" bestFit="1" customWidth="1"/>
    <col min="12" max="12" width="14.42578125" bestFit="1" customWidth="1"/>
  </cols>
  <sheetData>
    <row r="2" spans="1:12" ht="23.25" x14ac:dyDescent="0.35">
      <c r="A2" s="76" t="s">
        <v>520</v>
      </c>
    </row>
    <row r="4" spans="1:12" x14ac:dyDescent="0.25">
      <c r="A4" s="58" t="s">
        <v>126</v>
      </c>
      <c r="B4" s="58" t="s">
        <v>162</v>
      </c>
      <c r="C4" s="58" t="s">
        <v>13</v>
      </c>
      <c r="D4" s="58" t="s">
        <v>163</v>
      </c>
      <c r="E4" s="58" t="s">
        <v>4</v>
      </c>
      <c r="F4" s="58" t="s">
        <v>128</v>
      </c>
      <c r="G4" s="58" t="s">
        <v>17</v>
      </c>
      <c r="H4" s="58" t="s">
        <v>16</v>
      </c>
      <c r="I4" s="58" t="s">
        <v>133</v>
      </c>
      <c r="J4" s="58" t="s">
        <v>164</v>
      </c>
      <c r="K4" s="58" t="s">
        <v>165</v>
      </c>
      <c r="L4" s="58" t="s">
        <v>166</v>
      </c>
    </row>
    <row r="5" spans="1:12" x14ac:dyDescent="0.25">
      <c r="A5" s="66">
        <v>45175</v>
      </c>
      <c r="B5" s="67">
        <v>69696969</v>
      </c>
      <c r="C5" s="67" t="s">
        <v>27</v>
      </c>
      <c r="D5" s="67">
        <v>44001295</v>
      </c>
      <c r="E5" s="67" t="s">
        <v>30</v>
      </c>
      <c r="F5" s="67" t="s">
        <v>257</v>
      </c>
      <c r="G5" s="67" t="s">
        <v>112</v>
      </c>
      <c r="H5" s="67" t="s">
        <v>257</v>
      </c>
      <c r="I5" s="67" t="s">
        <v>88</v>
      </c>
      <c r="J5" s="68">
        <v>170000</v>
      </c>
      <c r="K5" s="68">
        <v>158100</v>
      </c>
      <c r="L5" s="67" t="s">
        <v>156</v>
      </c>
    </row>
    <row r="6" spans="1:12" x14ac:dyDescent="0.25">
      <c r="A6" s="61">
        <v>45184</v>
      </c>
      <c r="B6" s="67">
        <v>135134</v>
      </c>
      <c r="C6" s="67" t="s">
        <v>21</v>
      </c>
      <c r="D6" s="67">
        <v>29184123947</v>
      </c>
      <c r="E6" s="67" t="s">
        <v>24</v>
      </c>
      <c r="F6" s="67" t="s">
        <v>276</v>
      </c>
      <c r="G6" s="67" t="s">
        <v>100</v>
      </c>
      <c r="H6" s="67" t="s">
        <v>276</v>
      </c>
      <c r="I6" s="67" t="s">
        <v>73</v>
      </c>
      <c r="J6" s="68">
        <v>85000</v>
      </c>
      <c r="K6" s="68">
        <v>83300</v>
      </c>
      <c r="L6" s="67" t="s">
        <v>156</v>
      </c>
    </row>
    <row r="7" spans="1:12" x14ac:dyDescent="0.25">
      <c r="A7" s="61">
        <v>45198</v>
      </c>
      <c r="B7" s="59">
        <v>69696969</v>
      </c>
      <c r="C7" s="59" t="s">
        <v>27</v>
      </c>
      <c r="D7" s="59">
        <v>44001295</v>
      </c>
      <c r="E7" s="59" t="s">
        <v>30</v>
      </c>
      <c r="F7" s="59">
        <v>1234</v>
      </c>
      <c r="G7" s="59" t="s">
        <v>135</v>
      </c>
      <c r="H7" s="59">
        <v>1234</v>
      </c>
      <c r="I7" s="59" t="s">
        <v>85</v>
      </c>
      <c r="J7" s="60">
        <v>200000000</v>
      </c>
      <c r="K7" s="60">
        <v>186000000</v>
      </c>
      <c r="L7" s="59" t="s">
        <v>156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A8CE-0F62-428C-B9E9-F09BC634E9A1}">
  <sheetPr codeName="Planilha9"/>
  <dimension ref="A1:E5"/>
  <sheetViews>
    <sheetView workbookViewId="0">
      <selection activeCell="F10" sqref="F10"/>
    </sheetView>
  </sheetViews>
  <sheetFormatPr defaultRowHeight="15" x14ac:dyDescent="0.25"/>
  <cols>
    <col min="1" max="1" width="24.85546875" style="35" bestFit="1" customWidth="1"/>
    <col min="2" max="2" width="9.140625" style="35"/>
    <col min="3" max="3" width="15.42578125" style="54" bestFit="1" customWidth="1"/>
    <col min="4" max="16384" width="9.140625" style="35"/>
  </cols>
  <sheetData>
    <row r="1" spans="1:5" x14ac:dyDescent="0.25">
      <c r="C1" s="34"/>
    </row>
    <row r="2" spans="1:5" x14ac:dyDescent="0.25">
      <c r="C2" s="34"/>
    </row>
    <row r="3" spans="1:5" x14ac:dyDescent="0.25">
      <c r="A3" s="57" t="s">
        <v>161</v>
      </c>
      <c r="C3" s="52" t="s">
        <v>160</v>
      </c>
      <c r="E3" s="53"/>
    </row>
    <row r="4" spans="1:5" x14ac:dyDescent="0.25">
      <c r="A4" s="55" t="e">
        <f>IF(VENDAS!C13 &gt; 100000,VENDAS!C13 * 5%,0)</f>
        <v>#N/A</v>
      </c>
      <c r="C4" s="55">
        <f>IF(VENDAS!C15="Á Vista",VENDAS!C13 * 2%,0)</f>
        <v>0</v>
      </c>
      <c r="E4" s="34"/>
    </row>
    <row r="5" spans="1:5" x14ac:dyDescent="0.25">
      <c r="D5" s="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4A2FC-C4EF-4E42-9FB2-C62DCED3B2A1}">
  <sheetPr codeName="Planilha10"/>
  <dimension ref="A1:A6"/>
  <sheetViews>
    <sheetView workbookViewId="0">
      <selection activeCell="H14" sqref="H14"/>
    </sheetView>
  </sheetViews>
  <sheetFormatPr defaultRowHeight="15" x14ac:dyDescent="0.25"/>
  <sheetData>
    <row r="1" spans="1:1" x14ac:dyDescent="0.25">
      <c r="A1" t="s">
        <v>152</v>
      </c>
    </row>
    <row r="2" spans="1:1" x14ac:dyDescent="0.25">
      <c r="A2" t="s">
        <v>157</v>
      </c>
    </row>
    <row r="3" spans="1:1" x14ac:dyDescent="0.25">
      <c r="A3" t="s">
        <v>153</v>
      </c>
    </row>
    <row r="4" spans="1:1" x14ac:dyDescent="0.25">
      <c r="A4" t="s">
        <v>154</v>
      </c>
    </row>
    <row r="5" spans="1:1" x14ac:dyDescent="0.25">
      <c r="A5" t="s">
        <v>155</v>
      </c>
    </row>
    <row r="6" spans="1:1" x14ac:dyDescent="0.25">
      <c r="A6" t="s">
        <v>156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Clientes</vt:lpstr>
      <vt:lpstr>Produtos</vt:lpstr>
      <vt:lpstr>Colaboradores</vt:lpstr>
      <vt:lpstr>VENDAS</vt:lpstr>
      <vt:lpstr>Relatório-1</vt:lpstr>
      <vt:lpstr>Relatório-2</vt:lpstr>
      <vt:lpstr>Relatório-3</vt:lpstr>
      <vt:lpstr>Relatório-4</vt:lpstr>
      <vt:lpstr>Relatório-5</vt:lpstr>
      <vt:lpstr>Relatório-6</vt:lpstr>
      <vt:lpstr>Relatório-7</vt:lpstr>
      <vt:lpstr>Relatório-8</vt:lpstr>
      <vt:lpstr>Relatório-9</vt:lpstr>
      <vt:lpstr>Relatório-10</vt:lpstr>
      <vt:lpstr>Relatório-11</vt:lpstr>
      <vt:lpstr>Relatório-12</vt:lpstr>
      <vt:lpstr>Relatório-13</vt:lpstr>
      <vt:lpstr>Relatório-14</vt:lpstr>
      <vt:lpstr>Relatório-15</vt:lpstr>
      <vt:lpstr>Descontos</vt:lpstr>
      <vt:lpstr>For.Pag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2023-09-14T00:47:15Z</dcterms:modified>
</cp:coreProperties>
</file>